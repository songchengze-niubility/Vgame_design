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口径" sheetId="1" state="visible" r:id="rId1"/>
    <sheet xmlns:r="http://schemas.openxmlformats.org/officeDocument/2006/relationships" name="01_循环总览" sheetId="2" state="visible" r:id="rId2"/>
    <sheet xmlns:r="http://schemas.openxmlformats.org/officeDocument/2006/relationships" name="02_品质等级" sheetId="3" state="visible" r:id="rId3"/>
    <sheet xmlns:r="http://schemas.openxmlformats.org/officeDocument/2006/relationships" name="03_主属性基础" sheetId="4" state="visible" r:id="rId4"/>
    <sheet xmlns:r="http://schemas.openxmlformats.org/officeDocument/2006/relationships" name="04_主属性计算" sheetId="5" state="visible" r:id="rId5"/>
    <sheet xmlns:r="http://schemas.openxmlformats.org/officeDocument/2006/relationships" name="05_副属性基础" sheetId="6" state="visible" r:id="rId6"/>
    <sheet xmlns:r="http://schemas.openxmlformats.org/officeDocument/2006/relationships" name="06_副属性计算" sheetId="7" state="visible" r:id="rId7"/>
    <sheet xmlns:r="http://schemas.openxmlformats.org/officeDocument/2006/relationships" name="07_副本宝箱" sheetId="8" state="visible" r:id="rId8"/>
    <sheet xmlns:r="http://schemas.openxmlformats.org/officeDocument/2006/relationships" name="08_副本材料" sheetId="9" state="visible" r:id="rId9"/>
    <sheet xmlns:r="http://schemas.openxmlformats.org/officeDocument/2006/relationships" name="09_日产验算" sheetId="10" state="visible" r:id="rId10"/>
    <sheet xmlns:r="http://schemas.openxmlformats.org/officeDocument/2006/relationships" name="10_爬塔挂机" sheetId="11" state="visible" r:id="rId11"/>
    <sheet xmlns:r="http://schemas.openxmlformats.org/officeDocument/2006/relationships" name="11_锻造台经验" sheetId="12" state="visible" r:id="rId12"/>
    <sheet xmlns:r="http://schemas.openxmlformats.org/officeDocument/2006/relationships" name="12_合成消耗" sheetId="13" state="visible" r:id="rId13"/>
    <sheet xmlns:r="http://schemas.openxmlformats.org/officeDocument/2006/relationships" name="13_合成概率" sheetId="14" state="visible" r:id="rId14"/>
    <sheet xmlns:r="http://schemas.openxmlformats.org/officeDocument/2006/relationships" name="14_打造消耗" sheetId="15" state="visible" r:id="rId15"/>
    <sheet xmlns:r="http://schemas.openxmlformats.org/officeDocument/2006/relationships" name="15_打造概率" sheetId="16" state="visible" r:id="rId16"/>
    <sheet xmlns:r="http://schemas.openxmlformats.org/officeDocument/2006/relationships" name="16_分解回收" sheetId="17" state="visible" r:id="rId17"/>
    <sheet xmlns:r="http://schemas.openxmlformats.org/officeDocument/2006/relationships" name="17_边界待确认" sheetId="18" state="visible" r:id="rId18"/>
    <sheet xmlns:r="http://schemas.openxmlformats.org/officeDocument/2006/relationships" name="18_产销汇总" sheetId="19" state="visible" r:id="rId19"/>
  </sheets>
  <definedNames>
    <definedName name="_xlnm._FilterDatabase" localSheetId="0" hidden="1">'00_口径'!$A$1:$C$18</definedName>
    <definedName name="_xlnm._FilterDatabase" localSheetId="1" hidden="1">'01_循环总览'!$A$1:$E$8</definedName>
    <definedName name="_xlnm._FilterDatabase" localSheetId="2" hidden="1">'02_品质等级'!$A$1:$H$6</definedName>
    <definedName name="_xlnm._FilterDatabase" localSheetId="3" hidden="1">'03_主属性基础'!$A$1:$J$13</definedName>
    <definedName name="_xlnm._FilterDatabase" localSheetId="4" hidden="1">'04_主属性计算'!$A$1:$H$481</definedName>
    <definedName name="_xlnm._FilterDatabase" localSheetId="5" hidden="1">'05_副属性基础'!$A$1:$I$13</definedName>
    <definedName name="_xlnm._FilterDatabase" localSheetId="6" hidden="1">'06_副属性计算'!$A$1:$K$601</definedName>
    <definedName name="_xlnm._FilterDatabase" localSheetId="7" hidden="1">'07_副本宝箱'!$A$1:$K$31</definedName>
    <definedName name="_xlnm._FilterDatabase" localSheetId="8" hidden="1">'08_副本材料'!$A$1:$J$31</definedName>
    <definedName name="_xlnm._FilterDatabase" localSheetId="9" hidden="1">'09_日产验算'!$A$1:$U$11</definedName>
    <definedName name="_xlnm._FilterDatabase" localSheetId="10" hidden="1">'10_爬塔挂机'!$A$1:$P$3</definedName>
    <definedName name="_xlnm._FilterDatabase" localSheetId="11" hidden="1">'11_锻造台经验'!$A$1:$P$61</definedName>
    <definedName name="_xlnm._FilterDatabase" localSheetId="12" hidden="1">'12_合成消耗'!$A$1:$K$9</definedName>
    <definedName name="_xlnm._FilterDatabase" localSheetId="13" hidden="1">'13_合成概率'!$A$1:$K$61</definedName>
    <definedName name="_xlnm._FilterDatabase" localSheetId="14" hidden="1">'14_打造消耗'!$A$1:$L$9</definedName>
    <definedName name="_xlnm._FilterDatabase" localSheetId="15" hidden="1">'15_打造概率'!$A$1:$F$61</definedName>
    <definedName name="_xlnm._FilterDatabase" localSheetId="16" hidden="1">'16_分解回收'!$A$1:$M$13</definedName>
    <definedName name="_xlnm._FilterDatabase" localSheetId="17" hidden="1">'17_边界待确认'!$A$1:$C$10</definedName>
    <definedName name="_xlnm._FilterDatabase" localSheetId="18" hidden="1">'18_产销汇总'!$A$1:$H$73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color rgb="00000000"/>
      <sz val="10"/>
    </font>
    <font>
      <name val="Microsoft YaHei"/>
      <color rgb="000000FF"/>
      <sz val="10"/>
    </font>
    <font>
      <name val="Microsoft YaHei"/>
      <b val="1"/>
      <color rgb="00FFFFFF"/>
      <sz val="10"/>
    </font>
    <font>
      <name val="Microsoft YaHe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0" fontId="2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10" fontId="1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来源链与文件哈希</t>
      </text>
    </comment>
    <comment ref="B1" authorId="0" shapeId="0">
      <text>
        <t>来源链与文件哈希</t>
      </text>
    </comment>
    <comment ref="C1" authorId="0" shapeId="0">
      <text>
        <t>来源链与文件哈希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21_养成_映射装备经济消耗沉淀-2026-07-09.md；05_玩法_映射副本经济沉淀-2026-07-08.md</t>
      </text>
    </comment>
    <comment ref="B1" authorId="0" shapeId="0">
      <text>
        <t>21_养成_映射装备经济消耗沉淀-2026-07-09.md；05_玩法_映射副本经济沉淀-2026-07-08.md</t>
      </text>
    </comment>
    <comment ref="C1" authorId="0" shapeId="0">
      <text>
        <t>21_养成_映射装备经济消耗沉淀-2026-07-09.md；05_玩法_映射副本经济沉淀-2026-07-08.md</t>
      </text>
    </comment>
    <comment ref="D1" authorId="0" shapeId="0">
      <text>
        <t>21_养成_映射装备经济消耗沉淀-2026-07-09.md；05_玩法_映射副本经济沉淀-2026-07-08.md</t>
      </text>
    </comment>
    <comment ref="E1" authorId="0" shapeId="0">
      <text>
        <t>21_养成_映射装备经济消耗沉淀-2026-07-09.md；05_玩法_映射副本经济沉淀-2026-07-08.md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映射装备养成数值沉淀-2026-07-07.md；21_养成_映射装备经济消耗沉淀-2026-07-09.md</t>
      </text>
    </comment>
    <comment ref="B1" authorId="0" shapeId="0">
      <text>
        <t>映射装备养成数值沉淀-2026-07-07.md；21_养成_映射装备经济消耗沉淀-2026-07-09.md</t>
      </text>
    </comment>
    <comment ref="C1" authorId="0" shapeId="0">
      <text>
        <t>映射装备养成数值沉淀-2026-07-07.md；21_养成_映射装备经济消耗沉淀-2026-07-09.md</t>
      </text>
    </comment>
    <comment ref="D1" authorId="0" shapeId="0">
      <text>
        <t>映射装备养成数值沉淀-2026-07-07.md；21_养成_映射装备经济消耗沉淀-2026-07-09.md</t>
      </text>
    </comment>
    <comment ref="E1" authorId="0" shapeId="0">
      <text>
        <t>映射装备养成数值沉淀-2026-07-07.md；21_养成_映射装备经济消耗沉淀-2026-07-09.md</t>
      </text>
    </comment>
    <comment ref="F1" authorId="0" shapeId="0">
      <text>
        <t>映射装备养成数值沉淀-2026-07-07.md；21_养成_映射装备经济消耗沉淀-2026-07-09.md</t>
      </text>
    </comment>
    <comment ref="G1" authorId="0" shapeId="0">
      <text>
        <t>映射装备养成数值沉淀-2026-07-07.md；21_养成_映射装备经济消耗沉淀-2026-07-09.md</t>
      </text>
    </comment>
    <comment ref="H1" authorId="0" shapeId="0">
      <text>
        <t>映射装备养成数值沉淀-2026-07-07.md；21_养成_映射装备经济消耗沉淀-2026-07-09.md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映射装备养成数值沉淀-2026-07-07.md</t>
      </text>
    </comment>
    <comment ref="B1" authorId="0" shapeId="0">
      <text>
        <t>映射装备养成数值沉淀-2026-07-07.md</t>
      </text>
    </comment>
    <comment ref="C1" authorId="0" shapeId="0">
      <text>
        <t>映射装备养成数值沉淀-2026-07-07.md</t>
      </text>
    </comment>
    <comment ref="D1" authorId="0" shapeId="0">
      <text>
        <t>映射装备养成数值沉淀-2026-07-07.md</t>
      </text>
    </comment>
    <comment ref="E1" authorId="0" shapeId="0">
      <text>
        <t>映射装备养成数值沉淀-2026-07-07.md</t>
      </text>
    </comment>
    <comment ref="F1" authorId="0" shapeId="0">
      <text>
        <t>映射装备养成数值沉淀-2026-07-07.md</t>
      </text>
    </comment>
    <comment ref="G1" authorId="0" shapeId="0">
      <text>
        <t>映射装备养成数值沉淀-2026-07-07.md</t>
      </text>
    </comment>
    <comment ref="H1" authorId="0" shapeId="0">
      <text>
        <t>映射装备养成数值沉淀-2026-07-07.md</t>
      </text>
    </comment>
    <comment ref="I1" authorId="0" shapeId="0">
      <text>
        <t>映射装备养成数值沉淀-2026-07-07.md</t>
      </text>
    </comment>
    <comment ref="J1" authorId="0" shapeId="0">
      <text>
        <t>映射装备养成数值沉淀-2026-07-07.md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1" authorId="0" shapeId="0">
      <text>
        <t>映射装备养成数值沉淀-2026-07-07.md</t>
      </text>
    </comment>
    <comment ref="B1" authorId="0" shapeId="0">
      <text>
        <t>映射装备养成数值沉淀-2026-07-07.md</t>
      </text>
    </comment>
    <comment ref="C1" authorId="0" shapeId="0">
      <text>
        <t>映射装备养成数值沉淀-2026-07-07.md</t>
      </text>
    </comment>
    <comment ref="D1" authorId="0" shapeId="0">
      <text>
        <t>映射装备养成数值沉淀-2026-07-07.md</t>
      </text>
    </comment>
    <comment ref="E1" authorId="0" shapeId="0">
      <text>
        <t>映射装备养成数值沉淀-2026-07-07.md</t>
      </text>
    </comment>
    <comment ref="F1" authorId="0" shapeId="0">
      <text>
        <t>映射装备养成数值沉淀-2026-07-07.md</t>
      </text>
    </comment>
    <comment ref="G1" authorId="0" shapeId="0">
      <text>
        <t>映射装备养成数值沉淀-2026-07-07.md</t>
      </text>
    </comment>
    <comment ref="H1" authorId="0" shapeId="0">
      <text>
        <t>映射装备养成数值沉淀-2026-07-07.md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1" authorId="0" shapeId="0">
      <text>
        <t>映射装备养成数值沉淀-2026-07-07.md；01_源表/属性定价.xlsx</t>
      </text>
    </comment>
    <comment ref="B1" authorId="0" shapeId="0">
      <text>
        <t>映射装备养成数值沉淀-2026-07-07.md；01_源表/属性定价.xlsx</t>
      </text>
    </comment>
    <comment ref="C1" authorId="0" shapeId="0">
      <text>
        <t>映射装备养成数值沉淀-2026-07-07.md；01_源表/属性定价.xlsx</t>
      </text>
    </comment>
    <comment ref="D1" authorId="0" shapeId="0">
      <text>
        <t>映射装备养成数值沉淀-2026-07-07.md；01_源表/属性定价.xlsx</t>
      </text>
    </comment>
    <comment ref="E1" authorId="0" shapeId="0">
      <text>
        <t>映射装备养成数值沉淀-2026-07-07.md；01_源表/属性定价.xlsx</t>
      </text>
    </comment>
    <comment ref="F1" authorId="0" shapeId="0">
      <text>
        <t>映射装备养成数值沉淀-2026-07-07.md；01_源表/属性定价.xlsx</t>
      </text>
    </comment>
    <comment ref="G1" authorId="0" shapeId="0">
      <text>
        <t>映射装备养成数值沉淀-2026-07-07.md；01_源表/属性定价.xlsx</t>
      </text>
    </comment>
    <comment ref="H1" authorId="0" shapeId="0">
      <text>
        <t>映射装备养成数值沉淀-2026-07-07.md；01_源表/属性定价.xlsx</t>
      </text>
    </comment>
    <comment ref="I1" authorId="0" shapeId="0">
      <text>
        <t>映射装备养成数值沉淀-2026-07-07.md；01_源表/属性定价.xlsx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A1" authorId="0" shapeId="0">
      <text>
        <t>映射装备养成数值沉淀-2026-07-07.md</t>
      </text>
    </comment>
    <comment ref="B1" authorId="0" shapeId="0">
      <text>
        <t>映射装备养成数值沉淀-2026-07-07.md</t>
      </text>
    </comment>
    <comment ref="C1" authorId="0" shapeId="0">
      <text>
        <t>映射装备养成数值沉淀-2026-07-07.md</t>
      </text>
    </comment>
    <comment ref="D1" authorId="0" shapeId="0">
      <text>
        <t>映射装备养成数值沉淀-2026-07-07.md</t>
      </text>
    </comment>
    <comment ref="E1" authorId="0" shapeId="0">
      <text>
        <t>映射装备养成数值沉淀-2026-07-07.md</t>
      </text>
    </comment>
    <comment ref="F1" authorId="0" shapeId="0">
      <text>
        <t>映射装备养成数值沉淀-2026-07-07.md</t>
      </text>
    </comment>
    <comment ref="G1" authorId="0" shapeId="0">
      <text>
        <t>映射装备养成数值沉淀-2026-07-07.md</t>
      </text>
    </comment>
    <comment ref="H1" authorId="0" shapeId="0">
      <text>
        <t>映射装备养成数值沉淀-2026-07-07.md</t>
      </text>
    </comment>
    <comment ref="I1" authorId="0" shapeId="0">
      <text>
        <t>映射装备养成数值沉淀-2026-07-07.md</t>
      </text>
    </comment>
    <comment ref="J1" authorId="0" shapeId="0">
      <text>
        <t>映射装备养成数值沉淀-2026-07-07.md</t>
      </text>
    </comment>
    <comment ref="K1" authorId="0" shapeId="0">
      <text>
        <t>映射装备养成数值沉淀-2026-07-07.md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A1" authorId="0" shapeId="0">
      <text>
        <t>05_玩法_映射副本经济沉淀-2026-07-08.md</t>
      </text>
    </comment>
    <comment ref="B1" authorId="0" shapeId="0">
      <text>
        <t>05_玩法_映射副本经济沉淀-2026-07-08.md</t>
      </text>
    </comment>
    <comment ref="C1" authorId="0" shapeId="0">
      <text>
        <t>05_玩法_映射副本经济沉淀-2026-07-08.md</t>
      </text>
    </comment>
    <comment ref="D1" authorId="0" shapeId="0">
      <text>
        <t>05_玩法_映射副本经济沉淀-2026-07-08.md</t>
      </text>
    </comment>
    <comment ref="E1" authorId="0" shapeId="0">
      <text>
        <t>05_玩法_映射副本经济沉淀-2026-07-08.md</t>
      </text>
    </comment>
    <comment ref="F1" authorId="0" shapeId="0">
      <text>
        <t>05_玩法_映射副本经济沉淀-2026-07-08.md</t>
      </text>
    </comment>
    <comment ref="G1" authorId="0" shapeId="0">
      <text>
        <t>05_玩法_映射副本经济沉淀-2026-07-08.md</t>
      </text>
    </comment>
    <comment ref="H1" authorId="0" shapeId="0">
      <text>
        <t>05_玩法_映射副本经济沉淀-2026-07-08.md</t>
      </text>
    </comment>
    <comment ref="I1" authorId="0" shapeId="0">
      <text>
        <t>05_玩法_映射副本经济沉淀-2026-07-08.md</t>
      </text>
    </comment>
    <comment ref="J1" authorId="0" shapeId="0">
      <text>
        <t>05_玩法_映射副本经济沉淀-2026-07-08.md</t>
      </text>
    </comment>
    <comment ref="K1" authorId="0" shapeId="0">
      <text>
        <t>05_玩法_映射副本经济沉淀-2026-07-08.md</t>
      </text>
    </comment>
  </commentList>
</comments>
</file>

<file path=xl/comments/comment9.xml><?xml version="1.0" encoding="utf-8"?>
<comments xmlns="http://schemas.openxmlformats.org/spreadsheetml/2006/main">
  <authors>
    <author>Codex</author>
  </authors>
  <commentList>
    <comment ref="A1" authorId="0" shapeId="0">
      <text>
        <t>05_玩法_映射副本经济沉淀-2026-07-08.md；21_养成_映射装备经济消耗沉淀-2026-07-09.md</t>
      </text>
    </comment>
    <comment ref="B1" authorId="0" shapeId="0">
      <text>
        <t>05_玩法_映射副本经济沉淀-2026-07-08.md；21_养成_映射装备经济消耗沉淀-2026-07-09.md</t>
      </text>
    </comment>
    <comment ref="C1" authorId="0" shapeId="0">
      <text>
        <t>05_玩法_映射副本经济沉淀-2026-07-08.md；21_养成_映射装备经济消耗沉淀-2026-07-09.md</t>
      </text>
    </comment>
    <comment ref="D1" authorId="0" shapeId="0">
      <text>
        <t>05_玩法_映射副本经济沉淀-2026-07-08.md；21_养成_映射装备经济消耗沉淀-2026-07-09.md</t>
      </text>
    </comment>
    <comment ref="E1" authorId="0" shapeId="0">
      <text>
        <t>05_玩法_映射副本经济沉淀-2026-07-08.md；21_养成_映射装备经济消耗沉淀-2026-07-09.md</t>
      </text>
    </comment>
    <comment ref="F1" authorId="0" shapeId="0">
      <text>
        <t>05_玩法_映射副本经济沉淀-2026-07-08.md；21_养成_映射装备经济消耗沉淀-2026-07-09.md</t>
      </text>
    </comment>
    <comment ref="G1" authorId="0" shapeId="0">
      <text>
        <t>05_玩法_映射副本经济沉淀-2026-07-08.md；21_养成_映射装备经济消耗沉淀-2026-07-09.md</t>
      </text>
    </comment>
    <comment ref="H1" authorId="0" shapeId="0">
      <text>
        <t>05_玩法_映射副本经济沉淀-2026-07-08.md；21_养成_映射装备经济消耗沉淀-2026-07-09.md</t>
      </text>
    </comment>
    <comment ref="I1" authorId="0" shapeId="0">
      <text>
        <t>05_玩法_映射副本经济沉淀-2026-07-08.md；21_养成_映射装备经济消耗沉淀-2026-07-09.md</t>
      </text>
    </comment>
    <comment ref="J1" authorId="0" shapeId="0">
      <text>
        <t>05_玩法_映射副本经济沉淀-2026-07-08.md；21_养成_映射装备经济消耗沉淀-2026-07-09.md</t>
      </text>
    </comment>
  </commentList>
</comments>
</file>

<file path=xl/comments/comment10.xml><?xml version="1.0" encoding="utf-8"?>
<comments xmlns="http://schemas.openxmlformats.org/spreadsheetml/2006/main">
  <authors>
    <author>Codex</author>
  </authors>
  <commentList>
    <comment ref="A1" authorId="0" shapeId="0">
      <text>
        <t>05_玩法_映射副本经济沉淀-2026-07-08.md</t>
      </text>
    </comment>
    <comment ref="B1" authorId="0" shapeId="0">
      <text>
        <t>05_玩法_映射副本经济沉淀-2026-07-08.md</t>
      </text>
    </comment>
    <comment ref="C1" authorId="0" shapeId="0">
      <text>
        <t>05_玩法_映射副本经济沉淀-2026-07-08.md</t>
      </text>
    </comment>
    <comment ref="D1" authorId="0" shapeId="0">
      <text>
        <t>05_玩法_映射副本经济沉淀-2026-07-08.md</t>
      </text>
    </comment>
    <comment ref="E1" authorId="0" shapeId="0">
      <text>
        <t>05_玩法_映射副本经济沉淀-2026-07-08.md</t>
      </text>
    </comment>
    <comment ref="F1" authorId="0" shapeId="0">
      <text>
        <t>05_玩法_映射副本经济沉淀-2026-07-08.md</t>
      </text>
    </comment>
    <comment ref="G1" authorId="0" shapeId="0">
      <text>
        <t>05_玩法_映射副本经济沉淀-2026-07-08.md</t>
      </text>
    </comment>
    <comment ref="H1" authorId="0" shapeId="0">
      <text>
        <t>05_玩法_映射副本经济沉淀-2026-07-08.md</t>
      </text>
    </comment>
    <comment ref="I1" authorId="0" shapeId="0">
      <text>
        <t>05_玩法_映射副本经济沉淀-2026-07-08.md</t>
      </text>
    </comment>
    <comment ref="J1" authorId="0" shapeId="0">
      <text>
        <t>05_玩法_映射副本经济沉淀-2026-07-08.md</t>
      </text>
    </comment>
    <comment ref="K1" authorId="0" shapeId="0">
      <text>
        <t>05_玩法_映射副本经济沉淀-2026-07-08.md</t>
      </text>
    </comment>
    <comment ref="L1" authorId="0" shapeId="0">
      <text>
        <t>05_玩法_映射副本经济沉淀-2026-07-08.md</t>
      </text>
    </comment>
    <comment ref="M1" authorId="0" shapeId="0">
      <text>
        <t>05_玩法_映射副本经济沉淀-2026-07-08.md</t>
      </text>
    </comment>
    <comment ref="N1" authorId="0" shapeId="0">
      <text>
        <t>05_玩法_映射副本经济沉淀-2026-07-08.md</t>
      </text>
    </comment>
    <comment ref="O1" authorId="0" shapeId="0">
      <text>
        <t>05_玩法_映射副本经济沉淀-2026-07-08.md</t>
      </text>
    </comment>
    <comment ref="P1" authorId="0" shapeId="0">
      <text>
        <t>05_玩法_映射副本经济沉淀-2026-07-08.md</t>
      </text>
    </comment>
    <comment ref="Q1" authorId="0" shapeId="0">
      <text>
        <t>05_玩法_映射副本经济沉淀-2026-07-08.md</t>
      </text>
    </comment>
    <comment ref="R1" authorId="0" shapeId="0">
      <text>
        <t>05_玩法_映射副本经济沉淀-2026-07-08.md</t>
      </text>
    </comment>
    <comment ref="S1" authorId="0" shapeId="0">
      <text>
        <t>05_玩法_映射副本经济沉淀-2026-07-08.md</t>
      </text>
    </comment>
    <comment ref="T1" authorId="0" shapeId="0">
      <text>
        <t>05_玩法_映射副本经济沉淀-2026-07-08.md</t>
      </text>
    </comment>
    <comment ref="U1" authorId="0" shapeId="0">
      <text>
        <t>05_玩法_映射副本经济沉淀-2026-07-08.md</t>
      </text>
    </comment>
  </commentList>
</comments>
</file>

<file path=xl/comments/comment11.xml><?xml version="1.0" encoding="utf-8"?>
<comments xmlns="http://schemas.openxmlformats.org/spreadsheetml/2006/main">
  <authors>
    <author>Codex</author>
  </authors>
  <commentList>
    <comment ref="A1" authorId="0" shapeId="0">
      <text>
        <t>08_玩法_爬塔经济沉淀-2026-07-09.md</t>
      </text>
    </comment>
    <comment ref="B1" authorId="0" shapeId="0">
      <text>
        <t>08_玩法_爬塔经济沉淀-2026-07-09.md</t>
      </text>
    </comment>
    <comment ref="C1" authorId="0" shapeId="0">
      <text>
        <t>08_玩法_爬塔经济沉淀-2026-07-09.md</t>
      </text>
    </comment>
    <comment ref="D1" authorId="0" shapeId="0">
      <text>
        <t>08_玩法_爬塔经济沉淀-2026-07-09.md</t>
      </text>
    </comment>
    <comment ref="E1" authorId="0" shapeId="0">
      <text>
        <t>08_玩法_爬塔经济沉淀-2026-07-09.md</t>
      </text>
    </comment>
    <comment ref="F1" authorId="0" shapeId="0">
      <text>
        <t>08_玩法_爬塔经济沉淀-2026-07-09.md</t>
      </text>
    </comment>
    <comment ref="G1" authorId="0" shapeId="0">
      <text>
        <t>08_玩法_爬塔经济沉淀-2026-07-09.md</t>
      </text>
    </comment>
    <comment ref="H1" authorId="0" shapeId="0">
      <text>
        <t>08_玩法_爬塔经济沉淀-2026-07-09.md</t>
      </text>
    </comment>
    <comment ref="I1" authorId="0" shapeId="0">
      <text>
        <t>08_玩法_爬塔经济沉淀-2026-07-09.md</t>
      </text>
    </comment>
    <comment ref="J1" authorId="0" shapeId="0">
      <text>
        <t>08_玩法_爬塔经济沉淀-2026-07-09.md</t>
      </text>
    </comment>
    <comment ref="K1" authorId="0" shapeId="0">
      <text>
        <t>08_玩法_爬塔经济沉淀-2026-07-09.md</t>
      </text>
    </comment>
    <comment ref="L1" authorId="0" shapeId="0">
      <text>
        <t>08_玩法_爬塔经济沉淀-2026-07-09.md</t>
      </text>
    </comment>
    <comment ref="M1" authorId="0" shapeId="0">
      <text>
        <t>08_玩法_爬塔经济沉淀-2026-07-09.md</t>
      </text>
    </comment>
    <comment ref="N1" authorId="0" shapeId="0">
      <text>
        <t>08_玩法_爬塔经济沉淀-2026-07-09.md</t>
      </text>
    </comment>
    <comment ref="O1" authorId="0" shapeId="0">
      <text>
        <t>08_玩法_爬塔经济沉淀-2026-07-09.md</t>
      </text>
    </comment>
    <comment ref="P1" authorId="0" shapeId="0">
      <text>
        <t>08_玩法_爬塔经济沉淀-2026-07-09.md</t>
      </text>
    </comment>
  </commentList>
</comments>
</file>

<file path=xl/comments/comment12.xml><?xml version="1.0" encoding="utf-8"?>
<comments xmlns="http://schemas.openxmlformats.org/spreadsheetml/2006/main">
  <authors>
    <author>Codex</author>
  </authors>
  <commentList>
    <comment ref="A1" authorId="0" shapeId="0">
      <text>
        <t>21_养成_映射装备经济消耗沉淀-2026-07-09.md</t>
      </text>
    </comment>
    <comment ref="B1" authorId="0" shapeId="0">
      <text>
        <t>21_养成_映射装备经济消耗沉淀-2026-07-09.md</t>
      </text>
    </comment>
    <comment ref="C1" authorId="0" shapeId="0">
      <text>
        <t>21_养成_映射装备经济消耗沉淀-2026-07-09.md</t>
      </text>
    </comment>
    <comment ref="D1" authorId="0" shapeId="0">
      <text>
        <t>21_养成_映射装备经济消耗沉淀-2026-07-09.md</t>
      </text>
    </comment>
    <comment ref="E1" authorId="0" shapeId="0">
      <text>
        <t>21_养成_映射装备经济消耗沉淀-2026-07-09.md</t>
      </text>
    </comment>
    <comment ref="F1" authorId="0" shapeId="0">
      <text>
        <t>21_养成_映射装备经济消耗沉淀-2026-07-09.md</t>
      </text>
    </comment>
    <comment ref="G1" authorId="0" shapeId="0">
      <text>
        <t>21_养成_映射装备经济消耗沉淀-2026-07-09.md</t>
      </text>
    </comment>
    <comment ref="H1" authorId="0" shapeId="0">
      <text>
        <t>21_养成_映射装备经济消耗沉淀-2026-07-09.md</t>
      </text>
    </comment>
    <comment ref="I1" authorId="0" shapeId="0">
      <text>
        <t>21_养成_映射装备经济消耗沉淀-2026-07-09.md</t>
      </text>
    </comment>
    <comment ref="J1" authorId="0" shapeId="0">
      <text>
        <t>21_养成_映射装备经济消耗沉淀-2026-07-09.md</t>
      </text>
    </comment>
    <comment ref="K1" authorId="0" shapeId="0">
      <text>
        <t>21_养成_映射装备经济消耗沉淀-2026-07-09.md</t>
      </text>
    </comment>
    <comment ref="L1" authorId="0" shapeId="0">
      <text>
        <t>21_养成_映射装备经济消耗沉淀-2026-07-09.md</t>
      </text>
    </comment>
    <comment ref="M1" authorId="0" shapeId="0">
      <text>
        <t>21_养成_映射装备经济消耗沉淀-2026-07-09.md</t>
      </text>
    </comment>
    <comment ref="N1" authorId="0" shapeId="0">
      <text>
        <t>21_养成_映射装备经济消耗沉淀-2026-07-09.md</t>
      </text>
    </comment>
    <comment ref="O1" authorId="0" shapeId="0">
      <text>
        <t>21_养成_映射装备经济消耗沉淀-2026-07-09.md</t>
      </text>
    </comment>
    <comment ref="P1" authorId="0" shapeId="0">
      <text>
        <t>21_养成_映射装备经济消耗沉淀-2026-07-09.md</t>
      </text>
    </comment>
  </commentList>
</comments>
</file>

<file path=xl/comments/comment13.xml><?xml version="1.0" encoding="utf-8"?>
<comments xmlns="http://schemas.openxmlformats.org/spreadsheetml/2006/main">
  <authors>
    <author>Codex</author>
  </authors>
  <commentList>
    <comment ref="A1" authorId="0" shapeId="0">
      <text>
        <t>21_养成_映射装备经济消耗沉淀-2026-07-09.md</t>
      </text>
    </comment>
    <comment ref="B1" authorId="0" shapeId="0">
      <text>
        <t>21_养成_映射装备经济消耗沉淀-2026-07-09.md</t>
      </text>
    </comment>
    <comment ref="C1" authorId="0" shapeId="0">
      <text>
        <t>21_养成_映射装备经济消耗沉淀-2026-07-09.md</t>
      </text>
    </comment>
    <comment ref="D1" authorId="0" shapeId="0">
      <text>
        <t>21_养成_映射装备经济消耗沉淀-2026-07-09.md</t>
      </text>
    </comment>
    <comment ref="E1" authorId="0" shapeId="0">
      <text>
        <t>21_养成_映射装备经济消耗沉淀-2026-07-09.md</t>
      </text>
    </comment>
    <comment ref="F1" authorId="0" shapeId="0">
      <text>
        <t>21_养成_映射装备经济消耗沉淀-2026-07-09.md</t>
      </text>
    </comment>
    <comment ref="G1" authorId="0" shapeId="0">
      <text>
        <t>21_养成_映射装备经济消耗沉淀-2026-07-09.md</t>
      </text>
    </comment>
    <comment ref="H1" authorId="0" shapeId="0">
      <text>
        <t>21_养成_映射装备经济消耗沉淀-2026-07-09.md</t>
      </text>
    </comment>
    <comment ref="I1" authorId="0" shapeId="0">
      <text>
        <t>21_养成_映射装备经济消耗沉淀-2026-07-09.md</t>
      </text>
    </comment>
    <comment ref="J1" authorId="0" shapeId="0">
      <text>
        <t>21_养成_映射装备经济消耗沉淀-2026-07-09.md</t>
      </text>
    </comment>
    <comment ref="K1" authorId="0" shapeId="0">
      <text>
        <t>21_养成_映射装备经济消耗沉淀-2026-07-09.md</t>
      </text>
    </comment>
  </commentList>
</comments>
</file>

<file path=xl/comments/comment14.xml><?xml version="1.0" encoding="utf-8"?>
<comments xmlns="http://schemas.openxmlformats.org/spreadsheetml/2006/main">
  <authors>
    <author>Codex</author>
  </authors>
  <commentList>
    <comment ref="A1" authorId="0" shapeId="0">
      <text>
        <t>21_养成_映射装备经济消耗沉淀-2026-07-09.md</t>
      </text>
    </comment>
    <comment ref="B1" authorId="0" shapeId="0">
      <text>
        <t>21_养成_映射装备经济消耗沉淀-2026-07-09.md</t>
      </text>
    </comment>
    <comment ref="C1" authorId="0" shapeId="0">
      <text>
        <t>21_养成_映射装备经济消耗沉淀-2026-07-09.md</t>
      </text>
    </comment>
    <comment ref="D1" authorId="0" shapeId="0">
      <text>
        <t>21_养成_映射装备经济消耗沉淀-2026-07-09.md</t>
      </text>
    </comment>
    <comment ref="E1" authorId="0" shapeId="0">
      <text>
        <t>21_养成_映射装备经济消耗沉淀-2026-07-09.md</t>
      </text>
    </comment>
    <comment ref="F1" authorId="0" shapeId="0">
      <text>
        <t>21_养成_映射装备经济消耗沉淀-2026-07-09.md</t>
      </text>
    </comment>
    <comment ref="G1" authorId="0" shapeId="0">
      <text>
        <t>21_养成_映射装备经济消耗沉淀-2026-07-09.md</t>
      </text>
    </comment>
    <comment ref="H1" authorId="0" shapeId="0">
      <text>
        <t>21_养成_映射装备经济消耗沉淀-2026-07-09.md</t>
      </text>
    </comment>
    <comment ref="I1" authorId="0" shapeId="0">
      <text>
        <t>21_养成_映射装备经济消耗沉淀-2026-07-09.md</t>
      </text>
    </comment>
    <comment ref="J1" authorId="0" shapeId="0">
      <text>
        <t>21_养成_映射装备经济消耗沉淀-2026-07-09.md</t>
      </text>
    </comment>
    <comment ref="K1" authorId="0" shapeId="0">
      <text>
        <t>21_养成_映射装备经济消耗沉淀-2026-07-09.md</t>
      </text>
    </comment>
  </commentList>
</comments>
</file>

<file path=xl/comments/comment15.xml><?xml version="1.0" encoding="utf-8"?>
<comments xmlns="http://schemas.openxmlformats.org/spreadsheetml/2006/main">
  <authors>
    <author>Codex</author>
  </authors>
  <commentList>
    <comment ref="A1" authorId="0" shapeId="0">
      <text>
        <t>21_养成_映射装备经济消耗沉淀-2026-07-09.md</t>
      </text>
    </comment>
    <comment ref="B1" authorId="0" shapeId="0">
      <text>
        <t>21_养成_映射装备经济消耗沉淀-2026-07-09.md</t>
      </text>
    </comment>
    <comment ref="C1" authorId="0" shapeId="0">
      <text>
        <t>21_养成_映射装备经济消耗沉淀-2026-07-09.md</t>
      </text>
    </comment>
    <comment ref="D1" authorId="0" shapeId="0">
      <text>
        <t>21_养成_映射装备经济消耗沉淀-2026-07-09.md</t>
      </text>
    </comment>
    <comment ref="E1" authorId="0" shapeId="0">
      <text>
        <t>21_养成_映射装备经济消耗沉淀-2026-07-09.md</t>
      </text>
    </comment>
    <comment ref="F1" authorId="0" shapeId="0">
      <text>
        <t>21_养成_映射装备经济消耗沉淀-2026-07-09.md</t>
      </text>
    </comment>
    <comment ref="G1" authorId="0" shapeId="0">
      <text>
        <t>21_养成_映射装备经济消耗沉淀-2026-07-09.md</t>
      </text>
    </comment>
    <comment ref="H1" authorId="0" shapeId="0">
      <text>
        <t>21_养成_映射装备经济消耗沉淀-2026-07-09.md</t>
      </text>
    </comment>
    <comment ref="I1" authorId="0" shapeId="0">
      <text>
        <t>21_养成_映射装备经济消耗沉淀-2026-07-09.md</t>
      </text>
    </comment>
    <comment ref="J1" authorId="0" shapeId="0">
      <text>
        <t>21_养成_映射装备经济消耗沉淀-2026-07-09.md</t>
      </text>
    </comment>
    <comment ref="K1" authorId="0" shapeId="0">
      <text>
        <t>21_养成_映射装备经济消耗沉淀-2026-07-09.md</t>
      </text>
    </comment>
    <comment ref="L1" authorId="0" shapeId="0">
      <text>
        <t>21_养成_映射装备经济消耗沉淀-2026-07-09.md</t>
      </text>
    </comment>
  </commentList>
</comments>
</file>

<file path=xl/comments/comment16.xml><?xml version="1.0" encoding="utf-8"?>
<comments xmlns="http://schemas.openxmlformats.org/spreadsheetml/2006/main">
  <authors>
    <author>Codex</author>
  </authors>
  <commentList>
    <comment ref="A1" authorId="0" shapeId="0">
      <text>
        <t>21_养成_映射装备经济消耗沉淀-2026-07-09.md</t>
      </text>
    </comment>
    <comment ref="B1" authorId="0" shapeId="0">
      <text>
        <t>21_养成_映射装备经济消耗沉淀-2026-07-09.md</t>
      </text>
    </comment>
    <comment ref="C1" authorId="0" shapeId="0">
      <text>
        <t>21_养成_映射装备经济消耗沉淀-2026-07-09.md</t>
      </text>
    </comment>
    <comment ref="D1" authorId="0" shapeId="0">
      <text>
        <t>21_养成_映射装备经济消耗沉淀-2026-07-09.md</t>
      </text>
    </comment>
    <comment ref="E1" authorId="0" shapeId="0">
      <text>
        <t>21_养成_映射装备经济消耗沉淀-2026-07-09.md</t>
      </text>
    </comment>
    <comment ref="F1" authorId="0" shapeId="0">
      <text>
        <t>21_养成_映射装备经济消耗沉淀-2026-07-09.md</t>
      </text>
    </comment>
  </commentList>
</comments>
</file>

<file path=xl/comments/comment17.xml><?xml version="1.0" encoding="utf-8"?>
<comments xmlns="http://schemas.openxmlformats.org/spreadsheetml/2006/main">
  <authors>
    <author>Codex</author>
  </authors>
  <commentList>
    <comment ref="A1" authorId="0" shapeId="0">
      <text>
        <t>21_养成_映射装备经济消耗沉淀-2026-07-09.md</t>
      </text>
    </comment>
    <comment ref="B1" authorId="0" shapeId="0">
      <text>
        <t>21_养成_映射装备经济消耗沉淀-2026-07-09.md</t>
      </text>
    </comment>
    <comment ref="C1" authorId="0" shapeId="0">
      <text>
        <t>21_养成_映射装备经济消耗沉淀-2026-07-09.md</t>
      </text>
    </comment>
    <comment ref="D1" authorId="0" shapeId="0">
      <text>
        <t>21_养成_映射装备经济消耗沉淀-2026-07-09.md</t>
      </text>
    </comment>
    <comment ref="E1" authorId="0" shapeId="0">
      <text>
        <t>21_养成_映射装备经济消耗沉淀-2026-07-09.md</t>
      </text>
    </comment>
    <comment ref="F1" authorId="0" shapeId="0">
      <text>
        <t>21_养成_映射装备经济消耗沉淀-2026-07-09.md</t>
      </text>
    </comment>
    <comment ref="G1" authorId="0" shapeId="0">
      <text>
        <t>21_养成_映射装备经济消耗沉淀-2026-07-09.md</t>
      </text>
    </comment>
    <comment ref="H1" authorId="0" shapeId="0">
      <text>
        <t>21_养成_映射装备经济消耗沉淀-2026-07-09.md</t>
      </text>
    </comment>
    <comment ref="I1" authorId="0" shapeId="0">
      <text>
        <t>21_养成_映射装备经济消耗沉淀-2026-07-09.md</t>
      </text>
    </comment>
    <comment ref="J1" authorId="0" shapeId="0">
      <text>
        <t>21_养成_映射装备经济消耗沉淀-2026-07-09.md</t>
      </text>
    </comment>
    <comment ref="K1" authorId="0" shapeId="0">
      <text>
        <t>21_养成_映射装备经济消耗沉淀-2026-07-09.md</t>
      </text>
    </comment>
    <comment ref="L1" authorId="0" shapeId="0">
      <text>
        <t>21_养成_映射装备经济消耗沉淀-2026-07-09.md</t>
      </text>
    </comment>
    <comment ref="M1" authorId="0" shapeId="0">
      <text>
        <t>21_养成_映射装备经济消耗沉淀-2026-07-09.md</t>
      </text>
    </comment>
  </commentList>
</comments>
</file>

<file path=xl/comments/comment18.xml><?xml version="1.0" encoding="utf-8"?>
<comments xmlns="http://schemas.openxmlformats.org/spreadsheetml/2006/main">
  <authors>
    <author>Codex</author>
  </authors>
  <commentList>
    <comment ref="A1" authorId="0" shapeId="0">
      <text>
        <t>21_养成_映射装备经济消耗沉淀-2026-07-09.md；05_玩法_映射副本经济沉淀-2026-07-08.md；08_玩法_爬塔经济沉淀-2026-07-09.md</t>
      </text>
    </comment>
    <comment ref="B1" authorId="0" shapeId="0">
      <text>
        <t>21_养成_映射装备经济消耗沉淀-2026-07-09.md；05_玩法_映射副本经济沉淀-2026-07-08.md；08_玩法_爬塔经济沉淀-2026-07-09.md</t>
      </text>
    </comment>
    <comment ref="C1" authorId="0" shapeId="0">
      <text>
        <t>21_养成_映射装备经济消耗沉淀-2026-07-09.md；05_玩法_映射副本经济沉淀-2026-07-08.md；08_玩法_爬塔经济沉淀-2026-07-09.md</t>
      </text>
    </comment>
  </commentList>
</comments>
</file>

<file path=xl/comments/comment19.xml><?xml version="1.0" encoding="utf-8"?>
<comments xmlns="http://schemas.openxmlformats.org/spreadsheetml/2006/main">
  <authors>
    <author>Codex</author>
  </authors>
  <commentList>
    <comment ref="A4" authorId="0" shapeId="0">
      <text>
        <t>映射装备数值总表生成参数-2026-07-10.md</t>
      </text>
    </comment>
    <comment ref="B4" authorId="0" shapeId="0">
      <text>
        <t>映射装备数值总表生成参数-2026-07-10.md</t>
      </text>
    </comment>
    <comment ref="C4" authorId="0" shapeId="0">
      <text>
        <t>映射装备数值总表生成参数-2026-07-10.md</t>
      </text>
    </comment>
    <comment ref="D4" authorId="0" shapeId="0">
      <text>
        <t>映射装备数值总表生成参数-2026-07-10.md</t>
      </text>
    </comment>
    <comment ref="E4" authorId="0" shapeId="0">
      <text>
        <t>映射装备数值总表生成参数-2026-07-10.md</t>
      </text>
    </comment>
    <comment ref="F4" authorId="0" shapeId="0">
      <text>
        <t>映射装备数值总表生成参数-2026-07-10.md</t>
      </text>
    </comment>
    <comment ref="G4" authorId="0" shapeId="0">
      <text>
        <t>映射装备数值总表生成参数-2026-07-10.md</t>
      </text>
    </comment>
    <comment ref="H4" authorId="0" shapeId="0">
      <text>
        <t>映射装备数值总表生成参数-2026-07-10.md</t>
      </text>
    </comment>
    <comment ref="A10" authorId="0" shapeId="0">
      <text>
        <t>映射装备数值总表生成参数-2026-07-10.md</t>
      </text>
    </comment>
    <comment ref="B10" authorId="0" shapeId="0">
      <text>
        <t>映射装备数值总表生成参数-2026-07-10.md</t>
      </text>
    </comment>
    <comment ref="C10" authorId="0" shapeId="0">
      <text>
        <t>映射装备数值总表生成参数-2026-07-10.md</t>
      </text>
    </comment>
    <comment ref="D10" authorId="0" shapeId="0">
      <text>
        <t>映射装备数值总表生成参数-2026-07-10.md</t>
      </text>
    </comment>
    <comment ref="E10" authorId="0" shapeId="0">
      <text>
        <t>映射装备数值总表生成参数-2026-07-10.md</t>
      </text>
    </comment>
    <comment ref="F10" authorId="0" shapeId="0">
      <text>
        <t>映射装备数值总表生成参数-2026-07-10.md</t>
      </text>
    </comment>
    <comment ref="A37" authorId="0" shapeId="0">
      <text>
        <t>映射装备数值总表生成参数-2026-07-10.md</t>
      </text>
    </comment>
    <comment ref="B37" authorId="0" shapeId="0">
      <text>
        <t>映射装备数值总表生成参数-2026-07-10.md</t>
      </text>
    </comment>
    <comment ref="C37" authorId="0" shapeId="0">
      <text>
        <t>映射装备数值总表生成参数-2026-07-10.md</t>
      </text>
    </comment>
    <comment ref="D37" authorId="0" shapeId="0">
      <text>
        <t>映射装备数值总表生成参数-2026-07-10.md</t>
      </text>
    </comment>
    <comment ref="E37" authorId="0" shapeId="0">
      <text>
        <t>映射装备数值总表生成参数-2026-07-10.md</t>
      </text>
    </comment>
    <comment ref="F37" authorId="0" shapeId="0">
      <text>
        <t>映射装备数值总表生成参数-2026-07-10.md</t>
      </text>
    </comment>
    <comment ref="A50" authorId="0" shapeId="0">
      <text>
        <t>映射装备数值总表生成参数-2026-07-10.md</t>
      </text>
    </comment>
    <comment ref="B50" authorId="0" shapeId="0">
      <text>
        <t>映射装备数值总表生成参数-2026-07-10.md</t>
      </text>
    </comment>
    <comment ref="C50" authorId="0" shapeId="0">
      <text>
        <t>映射装备数值总表生成参数-2026-07-10.md</t>
      </text>
    </comment>
    <comment ref="D50" authorId="0" shapeId="0">
      <text>
        <t>映射装备数值总表生成参数-2026-07-10.md</t>
      </text>
    </comment>
    <comment ref="E50" authorId="0" shapeId="0">
      <text>
        <t>映射装备数值总表生成参数-2026-07-10.md</t>
      </text>
    </comment>
    <comment ref="F50" authorId="0" shapeId="0">
      <text>
        <t>映射装备数值总表生成参数-2026-07-10.md</t>
      </text>
    </comment>
    <comment ref="A65" authorId="0" shapeId="0">
      <text>
        <t>映射装备数值总表生成参数-2026-07-10.md</t>
      </text>
    </comment>
    <comment ref="B65" authorId="0" shapeId="0">
      <text>
        <t>映射装备数值总表生成参数-2026-07-10.md</t>
      </text>
    </comment>
    <comment ref="C65" authorId="0" shapeId="0">
      <text>
        <t>映射装备数值总表生成参数-2026-07-10.md</t>
      </text>
    </comment>
    <comment ref="D65" authorId="0" shapeId="0">
      <text>
        <t>映射装备数值总表生成参数-2026-07-10.md</t>
      </text>
    </comment>
    <comment ref="E65" authorId="0" shapeId="0">
      <text>
        <t>映射装备数值总表生成参数-2026-07-10.md</t>
      </text>
    </comment>
    <comment ref="F65" authorId="0" shapeId="0">
      <text>
        <t>映射装备数值总表生成参数-2026-07-10.md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9" customWidth="1" min="3" max="3"/>
  </cols>
  <sheetData>
    <row r="1">
      <c r="A1" s="1" t="inlineStr">
        <is>
          <t>项</t>
        </is>
      </c>
      <c r="B1" s="1" t="inlineStr">
        <is>
          <t>值</t>
        </is>
      </c>
      <c r="C1" s="1" t="inlineStr">
        <is>
          <t>备注</t>
        </is>
      </c>
    </row>
    <row r="2">
      <c r="A2" s="2" t="inlineStr">
        <is>
          <t>生成日期</t>
        </is>
      </c>
      <c r="B2" s="2" t="inlineStr">
        <is>
          <t>2026-09-05</t>
        </is>
      </c>
      <c r="C2" s="2" t="inlineStr"/>
    </row>
    <row r="3">
      <c r="A3" s="2" t="inlineStr">
        <is>
          <t>生成物</t>
        </is>
      </c>
      <c r="B3" s="2" t="inlineStr">
        <is>
          <t>D:\Vgame_design\output\numerical-production-workflow-v2\runs\20260905-120414-220437\framework-v2\养成\生成_映射装备数值总表.xlsx</t>
        </is>
      </c>
      <c r="C3" s="2" t="inlineStr">
        <is>
          <t>运行时不读取04终稿</t>
        </is>
      </c>
    </row>
    <row r="4">
      <c r="A4" s="2" t="inlineStr">
        <is>
          <t>口径</t>
        </is>
      </c>
      <c r="B4" s="2" t="inlineStr">
        <is>
          <t>01_源表提供全局事实校验；03_沉淀MD提供系统参数与公式</t>
        </is>
      </c>
      <c r="C4" s="2" t="inlineStr"/>
    </row>
    <row r="5">
      <c r="A5" s="2" t="inlineStr">
        <is>
          <t>公式说明</t>
        </is>
      </c>
      <c r="B5" s="2" t="inlineStr">
        <is>
          <t>派生项使用 Excel 公式；蓝字为源值/输入，黑字为公式</t>
        </is>
      </c>
      <c r="C5" s="2" t="inlineStr"/>
    </row>
    <row r="6">
      <c r="A6" s="2" t="inlineStr">
        <is>
          <t>源表</t>
        </is>
      </c>
      <c r="B6" s="2" t="inlineStr">
        <is>
          <t>01_源表\属性定价.xlsx</t>
        </is>
      </c>
      <c r="C6" s="2" t="inlineStr">
        <is>
          <t>6490dadd4bbc418d</t>
        </is>
      </c>
    </row>
    <row r="7">
      <c r="A7" s="2" t="inlineStr">
        <is>
          <t>源表</t>
        </is>
      </c>
      <c r="B7" s="2" t="inlineStr">
        <is>
          <t>01_源表\养成属性分配.xlsx</t>
        </is>
      </c>
      <c r="C7" s="2" t="inlineStr">
        <is>
          <t>09bb311622181f46</t>
        </is>
      </c>
    </row>
    <row r="8">
      <c r="A8" s="2" t="inlineStr">
        <is>
          <t>源表</t>
        </is>
      </c>
      <c r="B8" s="2" t="inlineStr">
        <is>
          <t>01_源表\道具定价.xlsx</t>
        </is>
      </c>
      <c r="C8" s="2" t="inlineStr">
        <is>
          <t>3a1b101606ec61d2</t>
        </is>
      </c>
    </row>
    <row r="9">
      <c r="A9" s="2" t="inlineStr">
        <is>
          <t>源表</t>
        </is>
      </c>
      <c r="B9" s="2" t="inlineStr">
        <is>
          <t>01_源表\经济口径.xlsx</t>
        </is>
      </c>
      <c r="C9" s="2" t="inlineStr">
        <is>
          <t>3fcfbef83b98376e</t>
        </is>
      </c>
    </row>
    <row r="10">
      <c r="A10" s="2" t="inlineStr">
        <is>
          <t>源沉淀MD</t>
        </is>
      </c>
      <c r="B10" s="2" t="inlineStr">
        <is>
          <t>03_沉淀MD\养成\映射装备养成数值沉淀-2026-07-07.md</t>
        </is>
      </c>
      <c r="C10" s="2" t="inlineStr">
        <is>
          <t>ee97552147e2c0d7</t>
        </is>
      </c>
    </row>
    <row r="11">
      <c r="A11" s="2" t="inlineStr">
        <is>
          <t>源沉淀MD</t>
        </is>
      </c>
      <c r="B11" s="2" t="inlineStr">
        <is>
          <t>03_沉淀MD\经济\21_养成_映射装备经济消耗沉淀-2026-07-09.md</t>
        </is>
      </c>
      <c r="C11" s="2" t="inlineStr">
        <is>
          <t>45cbc283729e204c</t>
        </is>
      </c>
    </row>
    <row r="12">
      <c r="A12" s="2" t="inlineStr">
        <is>
          <t>源沉淀MD</t>
        </is>
      </c>
      <c r="B12" s="2" t="inlineStr">
        <is>
          <t>03_沉淀MD\经济\05_玩法_映射副本经济沉淀-2026-07-08.md</t>
        </is>
      </c>
      <c r="C12" s="2" t="inlineStr">
        <is>
          <t>5526879278b1a396</t>
        </is>
      </c>
    </row>
    <row r="13">
      <c r="A13" s="2" t="inlineStr">
        <is>
          <t>源沉淀MD</t>
        </is>
      </c>
      <c r="B13" s="2" t="inlineStr">
        <is>
          <t>03_沉淀MD\经济\08_玩法_爬塔经济沉淀-2026-07-09.md</t>
        </is>
      </c>
      <c r="C13" s="2" t="inlineStr">
        <is>
          <t>fe8eeeef2e452022</t>
        </is>
      </c>
    </row>
    <row r="14">
      <c r="A14" s="2" t="inlineStr">
        <is>
          <t>源沉淀MD</t>
        </is>
      </c>
      <c r="B14" s="2" t="inlineStr">
        <is>
          <t>03_沉淀MD\养成\映射装备数值总表生成参数-2026-07-10.md</t>
        </is>
      </c>
      <c r="C14" s="2" t="inlineStr">
        <is>
          <t>9c2df89f29ca8eb3</t>
        </is>
      </c>
    </row>
    <row r="15">
      <c r="A15" s="2" t="inlineStr">
        <is>
          <t>01校验</t>
        </is>
      </c>
      <c r="B15" s="2" t="inlineStr">
        <is>
          <t>映射装备投放系数=10；生命/攻击/防御={'生命': 50000, '攻击': 15000, '防御': 10000}</t>
        </is>
      </c>
      <c r="C15" s="2" t="inlineStr">
        <is>
          <t>三项60红目标=01投放的75%</t>
        </is>
      </c>
    </row>
    <row r="16">
      <c r="A16" s="2" t="inlineStr">
        <is>
          <t>金币锚点</t>
        </is>
      </c>
      <c r="B16" s="2" t="inlineStr">
        <is>
          <t>金币(1)，钻石定价=0.001</t>
        </is>
      </c>
      <c r="C16" s="2" t="inlineStr">
        <is>
          <t>来自01_源表/道具定价.xlsx</t>
        </is>
      </c>
    </row>
    <row r="17">
      <c r="A17" s="2" t="inlineStr">
        <is>
          <t>经济边界</t>
        </is>
      </c>
      <c r="B17" s="2" t="inlineStr">
        <is>
          <t>升级、打孔、鉴定已删除</t>
        </is>
      </c>
      <c r="C17" s="2" t="inlineStr">
        <is>
          <t>来自01_源表/经济口径.xlsx</t>
        </is>
      </c>
    </row>
    <row r="18">
      <c r="A18" s="2" t="inlineStr">
        <is>
          <t>新增汇总</t>
        </is>
      </c>
      <c r="B18" s="2" t="inlineStr">
        <is>
          <t>18_产销汇总：按前/中/后期汇总日产出、打造/合成承载和金币压力</t>
        </is>
      </c>
      <c r="C18" s="2" t="inlineStr">
        <is>
          <t>阶段假设维护在生成参数MD</t>
        </is>
      </c>
    </row>
  </sheetData>
  <autoFilter ref="A1:C18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5" customWidth="1" min="4" max="4"/>
    <col width="27" customWidth="1" min="5" max="5"/>
  </cols>
  <sheetData>
    <row r="1">
      <c r="A1" s="1" t="inlineStr">
        <is>
          <t>环节</t>
        </is>
      </c>
      <c r="B1" s="1" t="inlineStr">
        <is>
          <t>投入/对象</t>
        </is>
      </c>
      <c r="C1" s="1" t="inlineStr">
        <is>
          <t>系统</t>
        </is>
      </c>
      <c r="D1" s="1" t="inlineStr">
        <is>
          <t>产出/去向</t>
        </is>
      </c>
      <c r="E1" s="1" t="inlineStr">
        <is>
          <t>备注</t>
        </is>
      </c>
    </row>
    <row r="2">
      <c r="A2" s="2" t="inlineStr">
        <is>
          <t>副本入场</t>
        </is>
      </c>
      <c r="B2" s="2" t="inlineStr">
        <is>
          <t>映射之匙(25)x1</t>
        </is>
      </c>
      <c r="C2" s="2" t="inlineStr">
        <is>
          <t>映射装备副本</t>
        </is>
      </c>
      <c r="D2" s="2" t="inlineStr">
        <is>
          <t>每日/周期由钥匙投放控制</t>
        </is>
      </c>
      <c r="E2" s="2" t="inlineStr">
        <is>
          <t>进入消耗，不归养成消耗</t>
        </is>
      </c>
    </row>
    <row r="3">
      <c r="A3" s="2" t="inlineStr">
        <is>
          <t>装备产出</t>
        </is>
      </c>
      <c r="B3" s="2" t="inlineStr">
        <is>
          <t>宝箱</t>
        </is>
      </c>
      <c r="C3" s="2" t="inlineStr">
        <is>
          <t>副本通关掉落</t>
        </is>
      </c>
      <c r="D3" s="2" t="inlineStr">
        <is>
          <t>装备进入穿戴/合成/分解</t>
        </is>
      </c>
      <c r="E3" s="2" t="inlineStr">
        <is>
          <t>红宝箱必出红装</t>
        </is>
      </c>
    </row>
    <row r="4">
      <c r="A4" s="2" t="inlineStr">
        <is>
          <t>打造材料产出</t>
        </is>
      </c>
      <c r="B4" s="2" t="inlineStr">
        <is>
          <t>主材/副材</t>
        </is>
      </c>
      <c r="C4" s="2" t="inlineStr">
        <is>
          <t>映射装备副本常驻</t>
        </is>
      </c>
      <c r="D4" s="2" t="inlineStr">
        <is>
          <t>打造指定等级/部位装备</t>
        </is>
      </c>
      <c r="E4" s="2" t="inlineStr">
        <is>
          <t>爬塔新版不再投放装备材料；主材决定打造档位和品质池</t>
        </is>
      </c>
    </row>
    <row r="5">
      <c r="A5" s="2" t="inlineStr">
        <is>
          <t>装备消耗</t>
        </is>
      </c>
      <c r="B5" s="2" t="inlineStr">
        <is>
          <t>9件同品质装备 + 金币</t>
        </is>
      </c>
      <c r="C5" s="2" t="inlineStr">
        <is>
          <t>合成</t>
        </is>
      </c>
      <c r="D5" s="2" t="inlineStr">
        <is>
          <t>随机部位，品质受锻造台影响</t>
        </is>
      </c>
      <c r="E5" s="2" t="inlineStr">
        <is>
          <t>合成给锻造台经验</t>
        </is>
      </c>
    </row>
    <row r="6">
      <c r="A6" s="2" t="inlineStr">
        <is>
          <t>材料消耗</t>
        </is>
      </c>
      <c r="B6" s="2" t="inlineStr">
        <is>
          <t>主材x1 + 2种副材 + 金币</t>
        </is>
      </c>
      <c r="C6" s="2" t="inlineStr">
        <is>
          <t>打造</t>
        </is>
      </c>
      <c r="D6" s="2" t="inlineStr">
        <is>
          <t>指定档内等级/部位，品质受锻造台影响</t>
        </is>
      </c>
      <c r="E6" s="2" t="inlineStr">
        <is>
          <t>打造不给锻造台经验</t>
        </is>
      </c>
    </row>
    <row r="7">
      <c r="A7" s="2" t="inlineStr">
        <is>
          <t>回收</t>
        </is>
      </c>
      <c r="B7" s="2" t="inlineStr">
        <is>
          <t>非目标装备</t>
        </is>
      </c>
      <c r="C7" s="2" t="inlineStr">
        <is>
          <t>分解</t>
        </is>
      </c>
      <c r="D7" s="2" t="inlineStr">
        <is>
          <t>金币 + 锻造台经验；红装额外高阶零件(23)</t>
        </is>
      </c>
      <c r="E7" s="2" t="inlineStr">
        <is>
          <t>洗练本版不做</t>
        </is>
      </c>
    </row>
    <row r="8">
      <c r="A8" s="2" t="inlineStr">
        <is>
          <t>沉淀</t>
        </is>
      </c>
      <c r="B8" s="2" t="inlineStr">
        <is>
          <t>高阶零件(23)</t>
        </is>
      </c>
      <c r="C8" s="2" t="inlineStr">
        <is>
          <t>红装分解</t>
        </is>
      </c>
      <c r="D8" s="2" t="inlineStr">
        <is>
          <t>后续版本装备高级材料储备</t>
        </is>
      </c>
      <c r="E8" s="2" t="inlineStr">
        <is>
          <t>当前无消耗</t>
        </is>
      </c>
    </row>
  </sheetData>
  <autoFilter ref="A1:E8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品质</t>
        </is>
      </c>
      <c r="B1" s="1" t="inlineStr">
        <is>
          <t>品质顺序</t>
        </is>
      </c>
      <c r="C1" s="1" t="inlineStr">
        <is>
          <t>主属性品质系数</t>
        </is>
      </c>
      <c r="D1" s="1" t="inlineStr">
        <is>
          <t>副属性品质系数</t>
        </is>
      </c>
      <c r="E1" s="1" t="inlineStr">
        <is>
          <t>合成金币系数</t>
        </is>
      </c>
      <c r="F1" s="1" t="inlineStr">
        <is>
          <t>分解金币系数</t>
        </is>
      </c>
      <c r="G1" s="1" t="inlineStr">
        <is>
          <t>随机倍率下限</t>
        </is>
      </c>
      <c r="H1" s="1" t="inlineStr">
        <is>
          <t>随机倍率上限</t>
        </is>
      </c>
    </row>
    <row r="2">
      <c r="A2" s="2" t="inlineStr">
        <is>
          <t>绿</t>
        </is>
      </c>
      <c r="B2" s="2" t="n">
        <v>1</v>
      </c>
      <c r="C2" s="2" t="n">
        <v>0.2</v>
      </c>
      <c r="D2" s="2" t="n">
        <v>0.35</v>
      </c>
      <c r="E2" s="2" t="n">
        <v>0.5</v>
      </c>
      <c r="F2" s="2" t="n">
        <v>0.2</v>
      </c>
      <c r="G2" s="2" t="n">
        <v>1</v>
      </c>
      <c r="H2" s="2" t="n">
        <v>1</v>
      </c>
    </row>
    <row r="3">
      <c r="A3" s="2" t="inlineStr">
        <is>
          <t>蓝</t>
        </is>
      </c>
      <c r="B3" s="2" t="n">
        <v>2</v>
      </c>
      <c r="C3" s="2" t="n">
        <v>0.3</v>
      </c>
      <c r="D3" s="2" t="n">
        <v>0.5</v>
      </c>
      <c r="E3" s="2" t="n">
        <v>0.7</v>
      </c>
      <c r="F3" s="2" t="n">
        <v>0.4</v>
      </c>
      <c r="G3" s="2" t="n">
        <v>1</v>
      </c>
      <c r="H3" s="2" t="n">
        <v>1</v>
      </c>
    </row>
    <row r="4">
      <c r="A4" s="2" t="inlineStr">
        <is>
          <t>紫</t>
        </is>
      </c>
      <c r="B4" s="2" t="n">
        <v>3</v>
      </c>
      <c r="C4" s="2" t="n">
        <v>0.45</v>
      </c>
      <c r="D4" s="2" t="n">
        <v>0.65</v>
      </c>
      <c r="E4" s="2" t="n">
        <v>1</v>
      </c>
      <c r="F4" s="2" t="n">
        <v>0.8</v>
      </c>
      <c r="G4" s="2" t="n">
        <v>1</v>
      </c>
      <c r="H4" s="2" t="n">
        <v>1</v>
      </c>
    </row>
    <row r="5">
      <c r="A5" s="2" t="inlineStr">
        <is>
          <t>金</t>
        </is>
      </c>
      <c r="B5" s="2" t="n">
        <v>4</v>
      </c>
      <c r="C5" s="2" t="n">
        <v>0.7</v>
      </c>
      <c r="D5" s="2" t="n">
        <v>0.85</v>
      </c>
      <c r="E5" s="2" t="n">
        <v>1.4</v>
      </c>
      <c r="F5" s="2" t="n">
        <v>1.3</v>
      </c>
      <c r="G5" s="2" t="n">
        <v>1</v>
      </c>
      <c r="H5" s="2" t="n">
        <v>1.2</v>
      </c>
    </row>
    <row r="6">
      <c r="A6" s="2" t="inlineStr">
        <is>
          <t>红</t>
        </is>
      </c>
      <c r="B6" s="2" t="n">
        <v>5</v>
      </c>
      <c r="C6" s="2" t="n">
        <v>1</v>
      </c>
      <c r="D6" s="2" t="n">
        <v>1</v>
      </c>
      <c r="E6" s="2" t="n">
        <v>2</v>
      </c>
      <c r="F6" s="2" t="n">
        <v>2</v>
      </c>
      <c r="G6" s="2" t="n">
        <v>1.2</v>
      </c>
      <c r="H6" s="2" t="n">
        <v>1.4</v>
      </c>
    </row>
  </sheetData>
  <autoFilter ref="A1:H6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部位</t>
        </is>
      </c>
      <c r="B1" s="1" t="inlineStr">
        <is>
          <t>主属性</t>
        </is>
      </c>
      <c r="C1" s="1" t="inlineStr">
        <is>
          <t>口径</t>
        </is>
      </c>
      <c r="D1" s="1" t="inlineStr"/>
      <c r="E1" s="1" t="inlineStr">
        <is>
          <t>主属性</t>
        </is>
      </c>
      <c r="F1" s="1" t="inlineStr">
        <is>
          <t>60级红装目标值</t>
        </is>
      </c>
      <c r="G1" s="1" t="inlineStr">
        <is>
          <t>单位</t>
        </is>
      </c>
      <c r="H1" s="1" t="inlineStr"/>
      <c r="I1" s="1" t="inlineStr">
        <is>
          <t>等级</t>
        </is>
      </c>
      <c r="J1" s="1" t="inlineStr">
        <is>
          <t>主属性等级倍率</t>
        </is>
      </c>
    </row>
    <row r="2">
      <c r="A2" s="2" t="inlineStr">
        <is>
          <t>武器</t>
        </is>
      </c>
      <c r="B2" s="2" t="inlineStr">
        <is>
          <t>攻击</t>
        </is>
      </c>
      <c r="C2" s="2" t="inlineStr">
        <is>
          <t>基础攻击来源</t>
        </is>
      </c>
      <c r="D2" s="2" t="inlineStr"/>
      <c r="E2" s="2" t="inlineStr">
        <is>
          <t>攻击</t>
        </is>
      </c>
      <c r="F2" s="2" t="n">
        <v>11250</v>
      </c>
      <c r="G2" s="2" t="inlineStr">
        <is>
          <t>数值</t>
        </is>
      </c>
      <c r="H2" s="2" t="inlineStr"/>
      <c r="I2" s="2" t="n">
        <v>5</v>
      </c>
      <c r="J2" s="2" t="n">
        <v>0.05</v>
      </c>
    </row>
    <row r="3">
      <c r="A3" s="2" t="inlineStr">
        <is>
          <t>头盔</t>
        </is>
      </c>
      <c r="B3" s="2" t="inlineStr">
        <is>
          <t>生命</t>
        </is>
      </c>
      <c r="C3" s="2" t="inlineStr">
        <is>
          <t>基础生存来源之一</t>
        </is>
      </c>
      <c r="D3" s="2" t="inlineStr"/>
      <c r="E3" s="2" t="inlineStr">
        <is>
          <t>生命</t>
        </is>
      </c>
      <c r="F3" s="2" t="n">
        <v>18750</v>
      </c>
      <c r="G3" s="2" t="inlineStr">
        <is>
          <t>数值</t>
        </is>
      </c>
      <c r="H3" s="2" t="inlineStr"/>
      <c r="I3" s="2" t="n">
        <v>10</v>
      </c>
      <c r="J3" s="2" t="n">
        <v>0.08699999999999999</v>
      </c>
    </row>
    <row r="4">
      <c r="A4" s="2" t="inlineStr">
        <is>
          <t>护甲（衣服）</t>
        </is>
      </c>
      <c r="B4" s="2" t="inlineStr">
        <is>
          <t>生命</t>
        </is>
      </c>
      <c r="C4" s="2" t="inlineStr">
        <is>
          <t>基础生存来源之一</t>
        </is>
      </c>
      <c r="D4" s="2" t="inlineStr"/>
      <c r="E4" s="2" t="inlineStr">
        <is>
          <t>生命</t>
        </is>
      </c>
      <c r="F4" s="2" t="n">
        <v>18750</v>
      </c>
      <c r="G4" s="2" t="inlineStr">
        <is>
          <t>数值</t>
        </is>
      </c>
      <c r="H4" s="2" t="inlineStr"/>
      <c r="I4" s="2" t="n">
        <v>15</v>
      </c>
      <c r="J4" s="2" t="n">
        <v>0.145</v>
      </c>
    </row>
    <row r="5">
      <c r="A5" s="2" t="inlineStr">
        <is>
          <t>手套</t>
        </is>
      </c>
      <c r="B5" s="2" t="inlineStr">
        <is>
          <t>防御</t>
        </is>
      </c>
      <c r="C5" s="2" t="inlineStr">
        <is>
          <t>基础防御来源之一</t>
        </is>
      </c>
      <c r="D5" s="2" t="inlineStr"/>
      <c r="E5" s="2" t="inlineStr">
        <is>
          <t>防御</t>
        </is>
      </c>
      <c r="F5" s="2" t="n">
        <v>2500</v>
      </c>
      <c r="G5" s="2" t="inlineStr">
        <is>
          <t>数值</t>
        </is>
      </c>
      <c r="H5" s="2" t="inlineStr"/>
      <c r="I5" s="2" t="n">
        <v>20</v>
      </c>
      <c r="J5" s="2" t="n">
        <v>0.214</v>
      </c>
    </row>
    <row r="6">
      <c r="A6" s="2" t="inlineStr">
        <is>
          <t>腰带</t>
        </is>
      </c>
      <c r="B6" s="2" t="inlineStr">
        <is>
          <t>防御</t>
        </is>
      </c>
      <c r="C6" s="2" t="inlineStr">
        <is>
          <t>基础防御来源之一</t>
        </is>
      </c>
      <c r="D6" s="2" t="inlineStr"/>
      <c r="E6" s="2" t="inlineStr">
        <is>
          <t>防御</t>
        </is>
      </c>
      <c r="F6" s="2" t="n">
        <v>2500</v>
      </c>
      <c r="G6" s="2" t="inlineStr">
        <is>
          <t>数值</t>
        </is>
      </c>
      <c r="H6" s="2" t="inlineStr"/>
      <c r="I6" s="2" t="n">
        <v>25</v>
      </c>
      <c r="J6" s="2" t="n">
        <v>0.292</v>
      </c>
    </row>
    <row r="7">
      <c r="A7" s="2" t="inlineStr">
        <is>
          <t>鞋子</t>
        </is>
      </c>
      <c r="B7" s="2" t="inlineStr">
        <is>
          <t>防御</t>
        </is>
      </c>
      <c r="C7" s="2" t="inlineStr">
        <is>
          <t>基础防御来源之一</t>
        </is>
      </c>
      <c r="D7" s="2" t="inlineStr"/>
      <c r="E7" s="2" t="inlineStr">
        <is>
          <t>防御</t>
        </is>
      </c>
      <c r="F7" s="2" t="n">
        <v>2500</v>
      </c>
      <c r="G7" s="2" t="inlineStr">
        <is>
          <t>数值</t>
        </is>
      </c>
      <c r="H7" s="2" t="inlineStr"/>
      <c r="I7" s="2" t="n">
        <v>30</v>
      </c>
      <c r="J7" s="2" t="n">
        <v>0.378</v>
      </c>
    </row>
    <row r="8">
      <c r="A8" s="2" t="inlineStr">
        <is>
          <t>装置</t>
        </is>
      </c>
      <c r="B8" s="2" t="inlineStr">
        <is>
          <t>暴击伤害等级</t>
        </is>
      </c>
      <c r="C8" s="2" t="inlineStr">
        <is>
          <t>暴击体系高价值追求入口</t>
        </is>
      </c>
      <c r="D8" s="2" t="inlineStr"/>
      <c r="E8" s="2" t="inlineStr">
        <is>
          <t>暴击伤害等级</t>
        </is>
      </c>
      <c r="F8" s="2" t="n">
        <v>8800</v>
      </c>
      <c r="G8" s="2" t="inlineStr">
        <is>
          <t>等级</t>
        </is>
      </c>
      <c r="H8" s="2" t="inlineStr"/>
      <c r="I8" s="2" t="n">
        <v>35</v>
      </c>
      <c r="J8" s="2" t="n">
        <v>0.469</v>
      </c>
    </row>
    <row r="9">
      <c r="A9" s="2" t="inlineStr">
        <is>
          <t>饰品</t>
        </is>
      </c>
      <c r="B9" s="2" t="inlineStr">
        <is>
          <t>暴击等级</t>
        </is>
      </c>
      <c r="C9" s="2" t="inlineStr">
        <is>
          <t>攻击向随机追求入口</t>
        </is>
      </c>
      <c r="D9" s="2" t="inlineStr"/>
      <c r="E9" s="2" t="inlineStr">
        <is>
          <t>暴击等级</t>
        </is>
      </c>
      <c r="F9" s="2" t="n">
        <v>7200</v>
      </c>
      <c r="G9" s="2" t="inlineStr">
        <is>
          <t>等级</t>
        </is>
      </c>
      <c r="H9" s="2" t="inlineStr"/>
      <c r="I9" s="2" t="n">
        <v>40</v>
      </c>
      <c r="J9" s="2" t="n">
        <v>0.5659999999999999</v>
      </c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n">
        <v>45</v>
      </c>
      <c r="J10" s="2" t="n">
        <v>0.668</v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n">
        <v>50</v>
      </c>
      <c r="J11" s="2" t="n">
        <v>0.775</v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n">
        <v>55</v>
      </c>
      <c r="J12" s="2" t="n">
        <v>0.885</v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n">
        <v>60</v>
      </c>
      <c r="J13" s="2" t="n">
        <v>1</v>
      </c>
    </row>
  </sheetData>
  <autoFilter ref="A1:J13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36" customWidth="1" min="5" max="5"/>
    <col width="36" customWidth="1" min="6" max="6"/>
    <col width="36" customWidth="1" min="7" max="7"/>
    <col width="14" customWidth="1" min="8" max="8"/>
  </cols>
  <sheetData>
    <row r="1">
      <c r="A1" s="1" t="inlineStr">
        <is>
          <t>部位</t>
        </is>
      </c>
      <c r="B1" s="1" t="inlineStr">
        <is>
          <t>主属性</t>
        </is>
      </c>
      <c r="C1" s="1" t="inlineStr">
        <is>
          <t>品质</t>
        </is>
      </c>
      <c r="D1" s="1" t="inlineStr">
        <is>
          <t>等级</t>
        </is>
      </c>
      <c r="E1" s="1" t="inlineStr">
        <is>
          <t>60红目标</t>
        </is>
      </c>
      <c r="F1" s="1" t="inlineStr">
        <is>
          <t>主属性品质系数</t>
        </is>
      </c>
      <c r="G1" s="1" t="inlineStr">
        <is>
          <t>主属性等级倍率</t>
        </is>
      </c>
      <c r="H1" s="1" t="inlineStr">
        <is>
          <t>主属性值</t>
        </is>
      </c>
    </row>
    <row r="2">
      <c r="A2" s="2" t="inlineStr">
        <is>
          <t>武器</t>
        </is>
      </c>
      <c r="B2" s="3">
        <f>INDEX('03_主属性基础'!$B$2:$B$9,MATCH(A2,'03_主属性基础'!$A$2:$A$9,0))</f>
        <v/>
      </c>
      <c r="C2" s="2" t="inlineStr">
        <is>
          <t>绿</t>
        </is>
      </c>
      <c r="D2" s="2" t="n">
        <v>5</v>
      </c>
      <c r="E2" s="3">
        <f>INDEX('03_主属性基础'!$F$2:$F$9,MATCH(B2,'03_主属性基础'!$E$2:$E$9,0))</f>
        <v/>
      </c>
      <c r="F2" s="3">
        <f>INDEX('02_品质等级'!$C$2:$C$6,MATCH(C2,'02_品质等级'!$A$2:$A$6,0))</f>
        <v/>
      </c>
      <c r="G2" s="3">
        <f>INDEX('03_主属性基础'!$J$2:$J$13,MATCH(D2,'03_主属性基础'!$I$2:$I$13,0))</f>
        <v/>
      </c>
      <c r="H2" s="3">
        <f>E2*F2*G2</f>
        <v/>
      </c>
    </row>
    <row r="3">
      <c r="A3" s="2" t="inlineStr">
        <is>
          <t>武器</t>
        </is>
      </c>
      <c r="B3" s="3">
        <f>INDEX('03_主属性基础'!$B$2:$B$9,MATCH(A3,'03_主属性基础'!$A$2:$A$9,0))</f>
        <v/>
      </c>
      <c r="C3" s="2" t="inlineStr">
        <is>
          <t>绿</t>
        </is>
      </c>
      <c r="D3" s="2" t="n">
        <v>10</v>
      </c>
      <c r="E3" s="3">
        <f>INDEX('03_主属性基础'!$F$2:$F$9,MATCH(B3,'03_主属性基础'!$E$2:$E$9,0))</f>
        <v/>
      </c>
      <c r="F3" s="3">
        <f>INDEX('02_品质等级'!$C$2:$C$6,MATCH(C3,'02_品质等级'!$A$2:$A$6,0))</f>
        <v/>
      </c>
      <c r="G3" s="3">
        <f>INDEX('03_主属性基础'!$J$2:$J$13,MATCH(D3,'03_主属性基础'!$I$2:$I$13,0))</f>
        <v/>
      </c>
      <c r="H3" s="3">
        <f>E3*F3*G3</f>
        <v/>
      </c>
    </row>
    <row r="4">
      <c r="A4" s="2" t="inlineStr">
        <is>
          <t>武器</t>
        </is>
      </c>
      <c r="B4" s="3">
        <f>INDEX('03_主属性基础'!$B$2:$B$9,MATCH(A4,'03_主属性基础'!$A$2:$A$9,0))</f>
        <v/>
      </c>
      <c r="C4" s="2" t="inlineStr">
        <is>
          <t>绿</t>
        </is>
      </c>
      <c r="D4" s="2" t="n">
        <v>15</v>
      </c>
      <c r="E4" s="3">
        <f>INDEX('03_主属性基础'!$F$2:$F$9,MATCH(B4,'03_主属性基础'!$E$2:$E$9,0))</f>
        <v/>
      </c>
      <c r="F4" s="3">
        <f>INDEX('02_品质等级'!$C$2:$C$6,MATCH(C4,'02_品质等级'!$A$2:$A$6,0))</f>
        <v/>
      </c>
      <c r="G4" s="3">
        <f>INDEX('03_主属性基础'!$J$2:$J$13,MATCH(D4,'03_主属性基础'!$I$2:$I$13,0))</f>
        <v/>
      </c>
      <c r="H4" s="3">
        <f>E4*F4*G4</f>
        <v/>
      </c>
    </row>
    <row r="5">
      <c r="A5" s="2" t="inlineStr">
        <is>
          <t>武器</t>
        </is>
      </c>
      <c r="B5" s="3">
        <f>INDEX('03_主属性基础'!$B$2:$B$9,MATCH(A5,'03_主属性基础'!$A$2:$A$9,0))</f>
        <v/>
      </c>
      <c r="C5" s="2" t="inlineStr">
        <is>
          <t>绿</t>
        </is>
      </c>
      <c r="D5" s="2" t="n">
        <v>20</v>
      </c>
      <c r="E5" s="3">
        <f>INDEX('03_主属性基础'!$F$2:$F$9,MATCH(B5,'03_主属性基础'!$E$2:$E$9,0))</f>
        <v/>
      </c>
      <c r="F5" s="3">
        <f>INDEX('02_品质等级'!$C$2:$C$6,MATCH(C5,'02_品质等级'!$A$2:$A$6,0))</f>
        <v/>
      </c>
      <c r="G5" s="3">
        <f>INDEX('03_主属性基础'!$J$2:$J$13,MATCH(D5,'03_主属性基础'!$I$2:$I$13,0))</f>
        <v/>
      </c>
      <c r="H5" s="3">
        <f>E5*F5*G5</f>
        <v/>
      </c>
    </row>
    <row r="6">
      <c r="A6" s="2" t="inlineStr">
        <is>
          <t>武器</t>
        </is>
      </c>
      <c r="B6" s="3">
        <f>INDEX('03_主属性基础'!$B$2:$B$9,MATCH(A6,'03_主属性基础'!$A$2:$A$9,0))</f>
        <v/>
      </c>
      <c r="C6" s="2" t="inlineStr">
        <is>
          <t>绿</t>
        </is>
      </c>
      <c r="D6" s="2" t="n">
        <v>25</v>
      </c>
      <c r="E6" s="3">
        <f>INDEX('03_主属性基础'!$F$2:$F$9,MATCH(B6,'03_主属性基础'!$E$2:$E$9,0))</f>
        <v/>
      </c>
      <c r="F6" s="3">
        <f>INDEX('02_品质等级'!$C$2:$C$6,MATCH(C6,'02_品质等级'!$A$2:$A$6,0))</f>
        <v/>
      </c>
      <c r="G6" s="3">
        <f>INDEX('03_主属性基础'!$J$2:$J$13,MATCH(D6,'03_主属性基础'!$I$2:$I$13,0))</f>
        <v/>
      </c>
      <c r="H6" s="3">
        <f>E6*F6*G6</f>
        <v/>
      </c>
    </row>
    <row r="7">
      <c r="A7" s="2" t="inlineStr">
        <is>
          <t>武器</t>
        </is>
      </c>
      <c r="B7" s="3">
        <f>INDEX('03_主属性基础'!$B$2:$B$9,MATCH(A7,'03_主属性基础'!$A$2:$A$9,0))</f>
        <v/>
      </c>
      <c r="C7" s="2" t="inlineStr">
        <is>
          <t>绿</t>
        </is>
      </c>
      <c r="D7" s="2" t="n">
        <v>30</v>
      </c>
      <c r="E7" s="3">
        <f>INDEX('03_主属性基础'!$F$2:$F$9,MATCH(B7,'03_主属性基础'!$E$2:$E$9,0))</f>
        <v/>
      </c>
      <c r="F7" s="3">
        <f>INDEX('02_品质等级'!$C$2:$C$6,MATCH(C7,'02_品质等级'!$A$2:$A$6,0))</f>
        <v/>
      </c>
      <c r="G7" s="3">
        <f>INDEX('03_主属性基础'!$J$2:$J$13,MATCH(D7,'03_主属性基础'!$I$2:$I$13,0))</f>
        <v/>
      </c>
      <c r="H7" s="3">
        <f>E7*F7*G7</f>
        <v/>
      </c>
    </row>
    <row r="8">
      <c r="A8" s="2" t="inlineStr">
        <is>
          <t>武器</t>
        </is>
      </c>
      <c r="B8" s="3">
        <f>INDEX('03_主属性基础'!$B$2:$B$9,MATCH(A8,'03_主属性基础'!$A$2:$A$9,0))</f>
        <v/>
      </c>
      <c r="C8" s="2" t="inlineStr">
        <is>
          <t>绿</t>
        </is>
      </c>
      <c r="D8" s="2" t="n">
        <v>35</v>
      </c>
      <c r="E8" s="3">
        <f>INDEX('03_主属性基础'!$F$2:$F$9,MATCH(B8,'03_主属性基础'!$E$2:$E$9,0))</f>
        <v/>
      </c>
      <c r="F8" s="3">
        <f>INDEX('02_品质等级'!$C$2:$C$6,MATCH(C8,'02_品质等级'!$A$2:$A$6,0))</f>
        <v/>
      </c>
      <c r="G8" s="3">
        <f>INDEX('03_主属性基础'!$J$2:$J$13,MATCH(D8,'03_主属性基础'!$I$2:$I$13,0))</f>
        <v/>
      </c>
      <c r="H8" s="3">
        <f>E8*F8*G8</f>
        <v/>
      </c>
    </row>
    <row r="9">
      <c r="A9" s="2" t="inlineStr">
        <is>
          <t>武器</t>
        </is>
      </c>
      <c r="B9" s="3">
        <f>INDEX('03_主属性基础'!$B$2:$B$9,MATCH(A9,'03_主属性基础'!$A$2:$A$9,0))</f>
        <v/>
      </c>
      <c r="C9" s="2" t="inlineStr">
        <is>
          <t>绿</t>
        </is>
      </c>
      <c r="D9" s="2" t="n">
        <v>40</v>
      </c>
      <c r="E9" s="3">
        <f>INDEX('03_主属性基础'!$F$2:$F$9,MATCH(B9,'03_主属性基础'!$E$2:$E$9,0))</f>
        <v/>
      </c>
      <c r="F9" s="3">
        <f>INDEX('02_品质等级'!$C$2:$C$6,MATCH(C9,'02_品质等级'!$A$2:$A$6,0))</f>
        <v/>
      </c>
      <c r="G9" s="3">
        <f>INDEX('03_主属性基础'!$J$2:$J$13,MATCH(D9,'03_主属性基础'!$I$2:$I$13,0))</f>
        <v/>
      </c>
      <c r="H9" s="3">
        <f>E9*F9*G9</f>
        <v/>
      </c>
    </row>
    <row r="10">
      <c r="A10" s="2" t="inlineStr">
        <is>
          <t>武器</t>
        </is>
      </c>
      <c r="B10" s="3">
        <f>INDEX('03_主属性基础'!$B$2:$B$9,MATCH(A10,'03_主属性基础'!$A$2:$A$9,0))</f>
        <v/>
      </c>
      <c r="C10" s="2" t="inlineStr">
        <is>
          <t>绿</t>
        </is>
      </c>
      <c r="D10" s="2" t="n">
        <v>45</v>
      </c>
      <c r="E10" s="3">
        <f>INDEX('03_主属性基础'!$F$2:$F$9,MATCH(B10,'03_主属性基础'!$E$2:$E$9,0))</f>
        <v/>
      </c>
      <c r="F10" s="3">
        <f>INDEX('02_品质等级'!$C$2:$C$6,MATCH(C10,'02_品质等级'!$A$2:$A$6,0))</f>
        <v/>
      </c>
      <c r="G10" s="3">
        <f>INDEX('03_主属性基础'!$J$2:$J$13,MATCH(D10,'03_主属性基础'!$I$2:$I$13,0))</f>
        <v/>
      </c>
      <c r="H10" s="3">
        <f>E10*F10*G10</f>
        <v/>
      </c>
    </row>
    <row r="11">
      <c r="A11" s="2" t="inlineStr">
        <is>
          <t>武器</t>
        </is>
      </c>
      <c r="B11" s="3">
        <f>INDEX('03_主属性基础'!$B$2:$B$9,MATCH(A11,'03_主属性基础'!$A$2:$A$9,0))</f>
        <v/>
      </c>
      <c r="C11" s="2" t="inlineStr">
        <is>
          <t>绿</t>
        </is>
      </c>
      <c r="D11" s="2" t="n">
        <v>50</v>
      </c>
      <c r="E11" s="3">
        <f>INDEX('03_主属性基础'!$F$2:$F$9,MATCH(B11,'03_主属性基础'!$E$2:$E$9,0))</f>
        <v/>
      </c>
      <c r="F11" s="3">
        <f>INDEX('02_品质等级'!$C$2:$C$6,MATCH(C11,'02_品质等级'!$A$2:$A$6,0))</f>
        <v/>
      </c>
      <c r="G11" s="3">
        <f>INDEX('03_主属性基础'!$J$2:$J$13,MATCH(D11,'03_主属性基础'!$I$2:$I$13,0))</f>
        <v/>
      </c>
      <c r="H11" s="3">
        <f>E11*F11*G11</f>
        <v/>
      </c>
    </row>
    <row r="12">
      <c r="A12" s="2" t="inlineStr">
        <is>
          <t>武器</t>
        </is>
      </c>
      <c r="B12" s="3">
        <f>INDEX('03_主属性基础'!$B$2:$B$9,MATCH(A12,'03_主属性基础'!$A$2:$A$9,0))</f>
        <v/>
      </c>
      <c r="C12" s="2" t="inlineStr">
        <is>
          <t>绿</t>
        </is>
      </c>
      <c r="D12" s="2" t="n">
        <v>55</v>
      </c>
      <c r="E12" s="3">
        <f>INDEX('03_主属性基础'!$F$2:$F$9,MATCH(B12,'03_主属性基础'!$E$2:$E$9,0))</f>
        <v/>
      </c>
      <c r="F12" s="3">
        <f>INDEX('02_品质等级'!$C$2:$C$6,MATCH(C12,'02_品质等级'!$A$2:$A$6,0))</f>
        <v/>
      </c>
      <c r="G12" s="3">
        <f>INDEX('03_主属性基础'!$J$2:$J$13,MATCH(D12,'03_主属性基础'!$I$2:$I$13,0))</f>
        <v/>
      </c>
      <c r="H12" s="3">
        <f>E12*F12*G12</f>
        <v/>
      </c>
    </row>
    <row r="13">
      <c r="A13" s="2" t="inlineStr">
        <is>
          <t>武器</t>
        </is>
      </c>
      <c r="B13" s="3">
        <f>INDEX('03_主属性基础'!$B$2:$B$9,MATCH(A13,'03_主属性基础'!$A$2:$A$9,0))</f>
        <v/>
      </c>
      <c r="C13" s="2" t="inlineStr">
        <is>
          <t>绿</t>
        </is>
      </c>
      <c r="D13" s="2" t="n">
        <v>60</v>
      </c>
      <c r="E13" s="3">
        <f>INDEX('03_主属性基础'!$F$2:$F$9,MATCH(B13,'03_主属性基础'!$E$2:$E$9,0))</f>
        <v/>
      </c>
      <c r="F13" s="3">
        <f>INDEX('02_品质等级'!$C$2:$C$6,MATCH(C13,'02_品质等级'!$A$2:$A$6,0))</f>
        <v/>
      </c>
      <c r="G13" s="3">
        <f>INDEX('03_主属性基础'!$J$2:$J$13,MATCH(D13,'03_主属性基础'!$I$2:$I$13,0))</f>
        <v/>
      </c>
      <c r="H13" s="3">
        <f>E13*F13*G13</f>
        <v/>
      </c>
    </row>
    <row r="14">
      <c r="A14" s="2" t="inlineStr">
        <is>
          <t>武器</t>
        </is>
      </c>
      <c r="B14" s="3">
        <f>INDEX('03_主属性基础'!$B$2:$B$9,MATCH(A14,'03_主属性基础'!$A$2:$A$9,0))</f>
        <v/>
      </c>
      <c r="C14" s="2" t="inlineStr">
        <is>
          <t>蓝</t>
        </is>
      </c>
      <c r="D14" s="2" t="n">
        <v>5</v>
      </c>
      <c r="E14" s="3">
        <f>INDEX('03_主属性基础'!$F$2:$F$9,MATCH(B14,'03_主属性基础'!$E$2:$E$9,0))</f>
        <v/>
      </c>
      <c r="F14" s="3">
        <f>INDEX('02_品质等级'!$C$2:$C$6,MATCH(C14,'02_品质等级'!$A$2:$A$6,0))</f>
        <v/>
      </c>
      <c r="G14" s="3">
        <f>INDEX('03_主属性基础'!$J$2:$J$13,MATCH(D14,'03_主属性基础'!$I$2:$I$13,0))</f>
        <v/>
      </c>
      <c r="H14" s="3">
        <f>E14*F14*G14</f>
        <v/>
      </c>
    </row>
    <row r="15">
      <c r="A15" s="2" t="inlineStr">
        <is>
          <t>武器</t>
        </is>
      </c>
      <c r="B15" s="3">
        <f>INDEX('03_主属性基础'!$B$2:$B$9,MATCH(A15,'03_主属性基础'!$A$2:$A$9,0))</f>
        <v/>
      </c>
      <c r="C15" s="2" t="inlineStr">
        <is>
          <t>蓝</t>
        </is>
      </c>
      <c r="D15" s="2" t="n">
        <v>10</v>
      </c>
      <c r="E15" s="3">
        <f>INDEX('03_主属性基础'!$F$2:$F$9,MATCH(B15,'03_主属性基础'!$E$2:$E$9,0))</f>
        <v/>
      </c>
      <c r="F15" s="3">
        <f>INDEX('02_品质等级'!$C$2:$C$6,MATCH(C15,'02_品质等级'!$A$2:$A$6,0))</f>
        <v/>
      </c>
      <c r="G15" s="3">
        <f>INDEX('03_主属性基础'!$J$2:$J$13,MATCH(D15,'03_主属性基础'!$I$2:$I$13,0))</f>
        <v/>
      </c>
      <c r="H15" s="3">
        <f>E15*F15*G15</f>
        <v/>
      </c>
    </row>
    <row r="16">
      <c r="A16" s="2" t="inlineStr">
        <is>
          <t>武器</t>
        </is>
      </c>
      <c r="B16" s="3">
        <f>INDEX('03_主属性基础'!$B$2:$B$9,MATCH(A16,'03_主属性基础'!$A$2:$A$9,0))</f>
        <v/>
      </c>
      <c r="C16" s="2" t="inlineStr">
        <is>
          <t>蓝</t>
        </is>
      </c>
      <c r="D16" s="2" t="n">
        <v>15</v>
      </c>
      <c r="E16" s="3">
        <f>INDEX('03_主属性基础'!$F$2:$F$9,MATCH(B16,'03_主属性基础'!$E$2:$E$9,0))</f>
        <v/>
      </c>
      <c r="F16" s="3">
        <f>INDEX('02_品质等级'!$C$2:$C$6,MATCH(C16,'02_品质等级'!$A$2:$A$6,0))</f>
        <v/>
      </c>
      <c r="G16" s="3">
        <f>INDEX('03_主属性基础'!$J$2:$J$13,MATCH(D16,'03_主属性基础'!$I$2:$I$13,0))</f>
        <v/>
      </c>
      <c r="H16" s="3">
        <f>E16*F16*G16</f>
        <v/>
      </c>
    </row>
    <row r="17">
      <c r="A17" s="2" t="inlineStr">
        <is>
          <t>武器</t>
        </is>
      </c>
      <c r="B17" s="3">
        <f>INDEX('03_主属性基础'!$B$2:$B$9,MATCH(A17,'03_主属性基础'!$A$2:$A$9,0))</f>
        <v/>
      </c>
      <c r="C17" s="2" t="inlineStr">
        <is>
          <t>蓝</t>
        </is>
      </c>
      <c r="D17" s="2" t="n">
        <v>20</v>
      </c>
      <c r="E17" s="3">
        <f>INDEX('03_主属性基础'!$F$2:$F$9,MATCH(B17,'03_主属性基础'!$E$2:$E$9,0))</f>
        <v/>
      </c>
      <c r="F17" s="3">
        <f>INDEX('02_品质等级'!$C$2:$C$6,MATCH(C17,'02_品质等级'!$A$2:$A$6,0))</f>
        <v/>
      </c>
      <c r="G17" s="3">
        <f>INDEX('03_主属性基础'!$J$2:$J$13,MATCH(D17,'03_主属性基础'!$I$2:$I$13,0))</f>
        <v/>
      </c>
      <c r="H17" s="3">
        <f>E17*F17*G17</f>
        <v/>
      </c>
    </row>
    <row r="18">
      <c r="A18" s="2" t="inlineStr">
        <is>
          <t>武器</t>
        </is>
      </c>
      <c r="B18" s="3">
        <f>INDEX('03_主属性基础'!$B$2:$B$9,MATCH(A18,'03_主属性基础'!$A$2:$A$9,0))</f>
        <v/>
      </c>
      <c r="C18" s="2" t="inlineStr">
        <is>
          <t>蓝</t>
        </is>
      </c>
      <c r="D18" s="2" t="n">
        <v>25</v>
      </c>
      <c r="E18" s="3">
        <f>INDEX('03_主属性基础'!$F$2:$F$9,MATCH(B18,'03_主属性基础'!$E$2:$E$9,0))</f>
        <v/>
      </c>
      <c r="F18" s="3">
        <f>INDEX('02_品质等级'!$C$2:$C$6,MATCH(C18,'02_品质等级'!$A$2:$A$6,0))</f>
        <v/>
      </c>
      <c r="G18" s="3">
        <f>INDEX('03_主属性基础'!$J$2:$J$13,MATCH(D18,'03_主属性基础'!$I$2:$I$13,0))</f>
        <v/>
      </c>
      <c r="H18" s="3">
        <f>E18*F18*G18</f>
        <v/>
      </c>
    </row>
    <row r="19">
      <c r="A19" s="2" t="inlineStr">
        <is>
          <t>武器</t>
        </is>
      </c>
      <c r="B19" s="3">
        <f>INDEX('03_主属性基础'!$B$2:$B$9,MATCH(A19,'03_主属性基础'!$A$2:$A$9,0))</f>
        <v/>
      </c>
      <c r="C19" s="2" t="inlineStr">
        <is>
          <t>蓝</t>
        </is>
      </c>
      <c r="D19" s="2" t="n">
        <v>30</v>
      </c>
      <c r="E19" s="3">
        <f>INDEX('03_主属性基础'!$F$2:$F$9,MATCH(B19,'03_主属性基础'!$E$2:$E$9,0))</f>
        <v/>
      </c>
      <c r="F19" s="3">
        <f>INDEX('02_品质等级'!$C$2:$C$6,MATCH(C19,'02_品质等级'!$A$2:$A$6,0))</f>
        <v/>
      </c>
      <c r="G19" s="3">
        <f>INDEX('03_主属性基础'!$J$2:$J$13,MATCH(D19,'03_主属性基础'!$I$2:$I$13,0))</f>
        <v/>
      </c>
      <c r="H19" s="3">
        <f>E19*F19*G19</f>
        <v/>
      </c>
    </row>
    <row r="20">
      <c r="A20" s="2" t="inlineStr">
        <is>
          <t>武器</t>
        </is>
      </c>
      <c r="B20" s="3">
        <f>INDEX('03_主属性基础'!$B$2:$B$9,MATCH(A20,'03_主属性基础'!$A$2:$A$9,0))</f>
        <v/>
      </c>
      <c r="C20" s="2" t="inlineStr">
        <is>
          <t>蓝</t>
        </is>
      </c>
      <c r="D20" s="2" t="n">
        <v>35</v>
      </c>
      <c r="E20" s="3">
        <f>INDEX('03_主属性基础'!$F$2:$F$9,MATCH(B20,'03_主属性基础'!$E$2:$E$9,0))</f>
        <v/>
      </c>
      <c r="F20" s="3">
        <f>INDEX('02_品质等级'!$C$2:$C$6,MATCH(C20,'02_品质等级'!$A$2:$A$6,0))</f>
        <v/>
      </c>
      <c r="G20" s="3">
        <f>INDEX('03_主属性基础'!$J$2:$J$13,MATCH(D20,'03_主属性基础'!$I$2:$I$13,0))</f>
        <v/>
      </c>
      <c r="H20" s="3">
        <f>E20*F20*G20</f>
        <v/>
      </c>
    </row>
    <row r="21">
      <c r="A21" s="2" t="inlineStr">
        <is>
          <t>武器</t>
        </is>
      </c>
      <c r="B21" s="3">
        <f>INDEX('03_主属性基础'!$B$2:$B$9,MATCH(A21,'03_主属性基础'!$A$2:$A$9,0))</f>
        <v/>
      </c>
      <c r="C21" s="2" t="inlineStr">
        <is>
          <t>蓝</t>
        </is>
      </c>
      <c r="D21" s="2" t="n">
        <v>40</v>
      </c>
      <c r="E21" s="3">
        <f>INDEX('03_主属性基础'!$F$2:$F$9,MATCH(B21,'03_主属性基础'!$E$2:$E$9,0))</f>
        <v/>
      </c>
      <c r="F21" s="3">
        <f>INDEX('02_品质等级'!$C$2:$C$6,MATCH(C21,'02_品质等级'!$A$2:$A$6,0))</f>
        <v/>
      </c>
      <c r="G21" s="3">
        <f>INDEX('03_主属性基础'!$J$2:$J$13,MATCH(D21,'03_主属性基础'!$I$2:$I$13,0))</f>
        <v/>
      </c>
      <c r="H21" s="3">
        <f>E21*F21*G21</f>
        <v/>
      </c>
    </row>
    <row r="22">
      <c r="A22" s="2" t="inlineStr">
        <is>
          <t>武器</t>
        </is>
      </c>
      <c r="B22" s="3">
        <f>INDEX('03_主属性基础'!$B$2:$B$9,MATCH(A22,'03_主属性基础'!$A$2:$A$9,0))</f>
        <v/>
      </c>
      <c r="C22" s="2" t="inlineStr">
        <is>
          <t>蓝</t>
        </is>
      </c>
      <c r="D22" s="2" t="n">
        <v>45</v>
      </c>
      <c r="E22" s="3">
        <f>INDEX('03_主属性基础'!$F$2:$F$9,MATCH(B22,'03_主属性基础'!$E$2:$E$9,0))</f>
        <v/>
      </c>
      <c r="F22" s="3">
        <f>INDEX('02_品质等级'!$C$2:$C$6,MATCH(C22,'02_品质等级'!$A$2:$A$6,0))</f>
        <v/>
      </c>
      <c r="G22" s="3">
        <f>INDEX('03_主属性基础'!$J$2:$J$13,MATCH(D22,'03_主属性基础'!$I$2:$I$13,0))</f>
        <v/>
      </c>
      <c r="H22" s="3">
        <f>E22*F22*G22</f>
        <v/>
      </c>
    </row>
    <row r="23">
      <c r="A23" s="2" t="inlineStr">
        <is>
          <t>武器</t>
        </is>
      </c>
      <c r="B23" s="3">
        <f>INDEX('03_主属性基础'!$B$2:$B$9,MATCH(A23,'03_主属性基础'!$A$2:$A$9,0))</f>
        <v/>
      </c>
      <c r="C23" s="2" t="inlineStr">
        <is>
          <t>蓝</t>
        </is>
      </c>
      <c r="D23" s="2" t="n">
        <v>50</v>
      </c>
      <c r="E23" s="3">
        <f>INDEX('03_主属性基础'!$F$2:$F$9,MATCH(B23,'03_主属性基础'!$E$2:$E$9,0))</f>
        <v/>
      </c>
      <c r="F23" s="3">
        <f>INDEX('02_品质等级'!$C$2:$C$6,MATCH(C23,'02_品质等级'!$A$2:$A$6,0))</f>
        <v/>
      </c>
      <c r="G23" s="3">
        <f>INDEX('03_主属性基础'!$J$2:$J$13,MATCH(D23,'03_主属性基础'!$I$2:$I$13,0))</f>
        <v/>
      </c>
      <c r="H23" s="3">
        <f>E23*F23*G23</f>
        <v/>
      </c>
    </row>
    <row r="24">
      <c r="A24" s="2" t="inlineStr">
        <is>
          <t>武器</t>
        </is>
      </c>
      <c r="B24" s="3">
        <f>INDEX('03_主属性基础'!$B$2:$B$9,MATCH(A24,'03_主属性基础'!$A$2:$A$9,0))</f>
        <v/>
      </c>
      <c r="C24" s="2" t="inlineStr">
        <is>
          <t>蓝</t>
        </is>
      </c>
      <c r="D24" s="2" t="n">
        <v>55</v>
      </c>
      <c r="E24" s="3">
        <f>INDEX('03_主属性基础'!$F$2:$F$9,MATCH(B24,'03_主属性基础'!$E$2:$E$9,0))</f>
        <v/>
      </c>
      <c r="F24" s="3">
        <f>INDEX('02_品质等级'!$C$2:$C$6,MATCH(C24,'02_品质等级'!$A$2:$A$6,0))</f>
        <v/>
      </c>
      <c r="G24" s="3">
        <f>INDEX('03_主属性基础'!$J$2:$J$13,MATCH(D24,'03_主属性基础'!$I$2:$I$13,0))</f>
        <v/>
      </c>
      <c r="H24" s="3">
        <f>E24*F24*G24</f>
        <v/>
      </c>
    </row>
    <row r="25">
      <c r="A25" s="2" t="inlineStr">
        <is>
          <t>武器</t>
        </is>
      </c>
      <c r="B25" s="3">
        <f>INDEX('03_主属性基础'!$B$2:$B$9,MATCH(A25,'03_主属性基础'!$A$2:$A$9,0))</f>
        <v/>
      </c>
      <c r="C25" s="2" t="inlineStr">
        <is>
          <t>蓝</t>
        </is>
      </c>
      <c r="D25" s="2" t="n">
        <v>60</v>
      </c>
      <c r="E25" s="3">
        <f>INDEX('03_主属性基础'!$F$2:$F$9,MATCH(B25,'03_主属性基础'!$E$2:$E$9,0))</f>
        <v/>
      </c>
      <c r="F25" s="3">
        <f>INDEX('02_品质等级'!$C$2:$C$6,MATCH(C25,'02_品质等级'!$A$2:$A$6,0))</f>
        <v/>
      </c>
      <c r="G25" s="3">
        <f>INDEX('03_主属性基础'!$J$2:$J$13,MATCH(D25,'03_主属性基础'!$I$2:$I$13,0))</f>
        <v/>
      </c>
      <c r="H25" s="3">
        <f>E25*F25*G25</f>
        <v/>
      </c>
    </row>
    <row r="26">
      <c r="A26" s="2" t="inlineStr">
        <is>
          <t>武器</t>
        </is>
      </c>
      <c r="B26" s="3">
        <f>INDEX('03_主属性基础'!$B$2:$B$9,MATCH(A26,'03_主属性基础'!$A$2:$A$9,0))</f>
        <v/>
      </c>
      <c r="C26" s="2" t="inlineStr">
        <is>
          <t>紫</t>
        </is>
      </c>
      <c r="D26" s="2" t="n">
        <v>5</v>
      </c>
      <c r="E26" s="3">
        <f>INDEX('03_主属性基础'!$F$2:$F$9,MATCH(B26,'03_主属性基础'!$E$2:$E$9,0))</f>
        <v/>
      </c>
      <c r="F26" s="3">
        <f>INDEX('02_品质等级'!$C$2:$C$6,MATCH(C26,'02_品质等级'!$A$2:$A$6,0))</f>
        <v/>
      </c>
      <c r="G26" s="3">
        <f>INDEX('03_主属性基础'!$J$2:$J$13,MATCH(D26,'03_主属性基础'!$I$2:$I$13,0))</f>
        <v/>
      </c>
      <c r="H26" s="3">
        <f>E26*F26*G26</f>
        <v/>
      </c>
    </row>
    <row r="27">
      <c r="A27" s="2" t="inlineStr">
        <is>
          <t>武器</t>
        </is>
      </c>
      <c r="B27" s="3">
        <f>INDEX('03_主属性基础'!$B$2:$B$9,MATCH(A27,'03_主属性基础'!$A$2:$A$9,0))</f>
        <v/>
      </c>
      <c r="C27" s="2" t="inlineStr">
        <is>
          <t>紫</t>
        </is>
      </c>
      <c r="D27" s="2" t="n">
        <v>10</v>
      </c>
      <c r="E27" s="3">
        <f>INDEX('03_主属性基础'!$F$2:$F$9,MATCH(B27,'03_主属性基础'!$E$2:$E$9,0))</f>
        <v/>
      </c>
      <c r="F27" s="3">
        <f>INDEX('02_品质等级'!$C$2:$C$6,MATCH(C27,'02_品质等级'!$A$2:$A$6,0))</f>
        <v/>
      </c>
      <c r="G27" s="3">
        <f>INDEX('03_主属性基础'!$J$2:$J$13,MATCH(D27,'03_主属性基础'!$I$2:$I$13,0))</f>
        <v/>
      </c>
      <c r="H27" s="3">
        <f>E27*F27*G27</f>
        <v/>
      </c>
    </row>
    <row r="28">
      <c r="A28" s="2" t="inlineStr">
        <is>
          <t>武器</t>
        </is>
      </c>
      <c r="B28" s="3">
        <f>INDEX('03_主属性基础'!$B$2:$B$9,MATCH(A28,'03_主属性基础'!$A$2:$A$9,0))</f>
        <v/>
      </c>
      <c r="C28" s="2" t="inlineStr">
        <is>
          <t>紫</t>
        </is>
      </c>
      <c r="D28" s="2" t="n">
        <v>15</v>
      </c>
      <c r="E28" s="3">
        <f>INDEX('03_主属性基础'!$F$2:$F$9,MATCH(B28,'03_主属性基础'!$E$2:$E$9,0))</f>
        <v/>
      </c>
      <c r="F28" s="3">
        <f>INDEX('02_品质等级'!$C$2:$C$6,MATCH(C28,'02_品质等级'!$A$2:$A$6,0))</f>
        <v/>
      </c>
      <c r="G28" s="3">
        <f>INDEX('03_主属性基础'!$J$2:$J$13,MATCH(D28,'03_主属性基础'!$I$2:$I$13,0))</f>
        <v/>
      </c>
      <c r="H28" s="3">
        <f>E28*F28*G28</f>
        <v/>
      </c>
    </row>
    <row r="29">
      <c r="A29" s="2" t="inlineStr">
        <is>
          <t>武器</t>
        </is>
      </c>
      <c r="B29" s="3">
        <f>INDEX('03_主属性基础'!$B$2:$B$9,MATCH(A29,'03_主属性基础'!$A$2:$A$9,0))</f>
        <v/>
      </c>
      <c r="C29" s="2" t="inlineStr">
        <is>
          <t>紫</t>
        </is>
      </c>
      <c r="D29" s="2" t="n">
        <v>20</v>
      </c>
      <c r="E29" s="3">
        <f>INDEX('03_主属性基础'!$F$2:$F$9,MATCH(B29,'03_主属性基础'!$E$2:$E$9,0))</f>
        <v/>
      </c>
      <c r="F29" s="3">
        <f>INDEX('02_品质等级'!$C$2:$C$6,MATCH(C29,'02_品质等级'!$A$2:$A$6,0))</f>
        <v/>
      </c>
      <c r="G29" s="3">
        <f>INDEX('03_主属性基础'!$J$2:$J$13,MATCH(D29,'03_主属性基础'!$I$2:$I$13,0))</f>
        <v/>
      </c>
      <c r="H29" s="3">
        <f>E29*F29*G29</f>
        <v/>
      </c>
    </row>
    <row r="30">
      <c r="A30" s="2" t="inlineStr">
        <is>
          <t>武器</t>
        </is>
      </c>
      <c r="B30" s="3">
        <f>INDEX('03_主属性基础'!$B$2:$B$9,MATCH(A30,'03_主属性基础'!$A$2:$A$9,0))</f>
        <v/>
      </c>
      <c r="C30" s="2" t="inlineStr">
        <is>
          <t>紫</t>
        </is>
      </c>
      <c r="D30" s="2" t="n">
        <v>25</v>
      </c>
      <c r="E30" s="3">
        <f>INDEX('03_主属性基础'!$F$2:$F$9,MATCH(B30,'03_主属性基础'!$E$2:$E$9,0))</f>
        <v/>
      </c>
      <c r="F30" s="3">
        <f>INDEX('02_品质等级'!$C$2:$C$6,MATCH(C30,'02_品质等级'!$A$2:$A$6,0))</f>
        <v/>
      </c>
      <c r="G30" s="3">
        <f>INDEX('03_主属性基础'!$J$2:$J$13,MATCH(D30,'03_主属性基础'!$I$2:$I$13,0))</f>
        <v/>
      </c>
      <c r="H30" s="3">
        <f>E30*F30*G30</f>
        <v/>
      </c>
    </row>
    <row r="31">
      <c r="A31" s="2" t="inlineStr">
        <is>
          <t>武器</t>
        </is>
      </c>
      <c r="B31" s="3">
        <f>INDEX('03_主属性基础'!$B$2:$B$9,MATCH(A31,'03_主属性基础'!$A$2:$A$9,0))</f>
        <v/>
      </c>
      <c r="C31" s="2" t="inlineStr">
        <is>
          <t>紫</t>
        </is>
      </c>
      <c r="D31" s="2" t="n">
        <v>30</v>
      </c>
      <c r="E31" s="3">
        <f>INDEX('03_主属性基础'!$F$2:$F$9,MATCH(B31,'03_主属性基础'!$E$2:$E$9,0))</f>
        <v/>
      </c>
      <c r="F31" s="3">
        <f>INDEX('02_品质等级'!$C$2:$C$6,MATCH(C31,'02_品质等级'!$A$2:$A$6,0))</f>
        <v/>
      </c>
      <c r="G31" s="3">
        <f>INDEX('03_主属性基础'!$J$2:$J$13,MATCH(D31,'03_主属性基础'!$I$2:$I$13,0))</f>
        <v/>
      </c>
      <c r="H31" s="3">
        <f>E31*F31*G31</f>
        <v/>
      </c>
    </row>
    <row r="32">
      <c r="A32" s="2" t="inlineStr">
        <is>
          <t>武器</t>
        </is>
      </c>
      <c r="B32" s="3">
        <f>INDEX('03_主属性基础'!$B$2:$B$9,MATCH(A32,'03_主属性基础'!$A$2:$A$9,0))</f>
        <v/>
      </c>
      <c r="C32" s="2" t="inlineStr">
        <is>
          <t>紫</t>
        </is>
      </c>
      <c r="D32" s="2" t="n">
        <v>35</v>
      </c>
      <c r="E32" s="3">
        <f>INDEX('03_主属性基础'!$F$2:$F$9,MATCH(B32,'03_主属性基础'!$E$2:$E$9,0))</f>
        <v/>
      </c>
      <c r="F32" s="3">
        <f>INDEX('02_品质等级'!$C$2:$C$6,MATCH(C32,'02_品质等级'!$A$2:$A$6,0))</f>
        <v/>
      </c>
      <c r="G32" s="3">
        <f>INDEX('03_主属性基础'!$J$2:$J$13,MATCH(D32,'03_主属性基础'!$I$2:$I$13,0))</f>
        <v/>
      </c>
      <c r="H32" s="3">
        <f>E32*F32*G32</f>
        <v/>
      </c>
    </row>
    <row r="33">
      <c r="A33" s="2" t="inlineStr">
        <is>
          <t>武器</t>
        </is>
      </c>
      <c r="B33" s="3">
        <f>INDEX('03_主属性基础'!$B$2:$B$9,MATCH(A33,'03_主属性基础'!$A$2:$A$9,0))</f>
        <v/>
      </c>
      <c r="C33" s="2" t="inlineStr">
        <is>
          <t>紫</t>
        </is>
      </c>
      <c r="D33" s="2" t="n">
        <v>40</v>
      </c>
      <c r="E33" s="3">
        <f>INDEX('03_主属性基础'!$F$2:$F$9,MATCH(B33,'03_主属性基础'!$E$2:$E$9,0))</f>
        <v/>
      </c>
      <c r="F33" s="3">
        <f>INDEX('02_品质等级'!$C$2:$C$6,MATCH(C33,'02_品质等级'!$A$2:$A$6,0))</f>
        <v/>
      </c>
      <c r="G33" s="3">
        <f>INDEX('03_主属性基础'!$J$2:$J$13,MATCH(D33,'03_主属性基础'!$I$2:$I$13,0))</f>
        <v/>
      </c>
      <c r="H33" s="3">
        <f>E33*F33*G33</f>
        <v/>
      </c>
    </row>
    <row r="34">
      <c r="A34" s="2" t="inlineStr">
        <is>
          <t>武器</t>
        </is>
      </c>
      <c r="B34" s="3">
        <f>INDEX('03_主属性基础'!$B$2:$B$9,MATCH(A34,'03_主属性基础'!$A$2:$A$9,0))</f>
        <v/>
      </c>
      <c r="C34" s="2" t="inlineStr">
        <is>
          <t>紫</t>
        </is>
      </c>
      <c r="D34" s="2" t="n">
        <v>45</v>
      </c>
      <c r="E34" s="3">
        <f>INDEX('03_主属性基础'!$F$2:$F$9,MATCH(B34,'03_主属性基础'!$E$2:$E$9,0))</f>
        <v/>
      </c>
      <c r="F34" s="3">
        <f>INDEX('02_品质等级'!$C$2:$C$6,MATCH(C34,'02_品质等级'!$A$2:$A$6,0))</f>
        <v/>
      </c>
      <c r="G34" s="3">
        <f>INDEX('03_主属性基础'!$J$2:$J$13,MATCH(D34,'03_主属性基础'!$I$2:$I$13,0))</f>
        <v/>
      </c>
      <c r="H34" s="3">
        <f>E34*F34*G34</f>
        <v/>
      </c>
    </row>
    <row r="35">
      <c r="A35" s="2" t="inlineStr">
        <is>
          <t>武器</t>
        </is>
      </c>
      <c r="B35" s="3">
        <f>INDEX('03_主属性基础'!$B$2:$B$9,MATCH(A35,'03_主属性基础'!$A$2:$A$9,0))</f>
        <v/>
      </c>
      <c r="C35" s="2" t="inlineStr">
        <is>
          <t>紫</t>
        </is>
      </c>
      <c r="D35" s="2" t="n">
        <v>50</v>
      </c>
      <c r="E35" s="3">
        <f>INDEX('03_主属性基础'!$F$2:$F$9,MATCH(B35,'03_主属性基础'!$E$2:$E$9,0))</f>
        <v/>
      </c>
      <c r="F35" s="3">
        <f>INDEX('02_品质等级'!$C$2:$C$6,MATCH(C35,'02_品质等级'!$A$2:$A$6,0))</f>
        <v/>
      </c>
      <c r="G35" s="3">
        <f>INDEX('03_主属性基础'!$J$2:$J$13,MATCH(D35,'03_主属性基础'!$I$2:$I$13,0))</f>
        <v/>
      </c>
      <c r="H35" s="3">
        <f>E35*F35*G35</f>
        <v/>
      </c>
    </row>
    <row r="36">
      <c r="A36" s="2" t="inlineStr">
        <is>
          <t>武器</t>
        </is>
      </c>
      <c r="B36" s="3">
        <f>INDEX('03_主属性基础'!$B$2:$B$9,MATCH(A36,'03_主属性基础'!$A$2:$A$9,0))</f>
        <v/>
      </c>
      <c r="C36" s="2" t="inlineStr">
        <is>
          <t>紫</t>
        </is>
      </c>
      <c r="D36" s="2" t="n">
        <v>55</v>
      </c>
      <c r="E36" s="3">
        <f>INDEX('03_主属性基础'!$F$2:$F$9,MATCH(B36,'03_主属性基础'!$E$2:$E$9,0))</f>
        <v/>
      </c>
      <c r="F36" s="3">
        <f>INDEX('02_品质等级'!$C$2:$C$6,MATCH(C36,'02_品质等级'!$A$2:$A$6,0))</f>
        <v/>
      </c>
      <c r="G36" s="3">
        <f>INDEX('03_主属性基础'!$J$2:$J$13,MATCH(D36,'03_主属性基础'!$I$2:$I$13,0))</f>
        <v/>
      </c>
      <c r="H36" s="3">
        <f>E36*F36*G36</f>
        <v/>
      </c>
    </row>
    <row r="37">
      <c r="A37" s="2" t="inlineStr">
        <is>
          <t>武器</t>
        </is>
      </c>
      <c r="B37" s="3">
        <f>INDEX('03_主属性基础'!$B$2:$B$9,MATCH(A37,'03_主属性基础'!$A$2:$A$9,0))</f>
        <v/>
      </c>
      <c r="C37" s="2" t="inlineStr">
        <is>
          <t>紫</t>
        </is>
      </c>
      <c r="D37" s="2" t="n">
        <v>60</v>
      </c>
      <c r="E37" s="3">
        <f>INDEX('03_主属性基础'!$F$2:$F$9,MATCH(B37,'03_主属性基础'!$E$2:$E$9,0))</f>
        <v/>
      </c>
      <c r="F37" s="3">
        <f>INDEX('02_品质等级'!$C$2:$C$6,MATCH(C37,'02_品质等级'!$A$2:$A$6,0))</f>
        <v/>
      </c>
      <c r="G37" s="3">
        <f>INDEX('03_主属性基础'!$J$2:$J$13,MATCH(D37,'03_主属性基础'!$I$2:$I$13,0))</f>
        <v/>
      </c>
      <c r="H37" s="3">
        <f>E37*F37*G37</f>
        <v/>
      </c>
    </row>
    <row r="38">
      <c r="A38" s="2" t="inlineStr">
        <is>
          <t>武器</t>
        </is>
      </c>
      <c r="B38" s="3">
        <f>INDEX('03_主属性基础'!$B$2:$B$9,MATCH(A38,'03_主属性基础'!$A$2:$A$9,0))</f>
        <v/>
      </c>
      <c r="C38" s="2" t="inlineStr">
        <is>
          <t>金</t>
        </is>
      </c>
      <c r="D38" s="2" t="n">
        <v>5</v>
      </c>
      <c r="E38" s="3">
        <f>INDEX('03_主属性基础'!$F$2:$F$9,MATCH(B38,'03_主属性基础'!$E$2:$E$9,0))</f>
        <v/>
      </c>
      <c r="F38" s="3">
        <f>INDEX('02_品质等级'!$C$2:$C$6,MATCH(C38,'02_品质等级'!$A$2:$A$6,0))</f>
        <v/>
      </c>
      <c r="G38" s="3">
        <f>INDEX('03_主属性基础'!$J$2:$J$13,MATCH(D38,'03_主属性基础'!$I$2:$I$13,0))</f>
        <v/>
      </c>
      <c r="H38" s="3">
        <f>E38*F38*G38</f>
        <v/>
      </c>
    </row>
    <row r="39">
      <c r="A39" s="2" t="inlineStr">
        <is>
          <t>武器</t>
        </is>
      </c>
      <c r="B39" s="3">
        <f>INDEX('03_主属性基础'!$B$2:$B$9,MATCH(A39,'03_主属性基础'!$A$2:$A$9,0))</f>
        <v/>
      </c>
      <c r="C39" s="2" t="inlineStr">
        <is>
          <t>金</t>
        </is>
      </c>
      <c r="D39" s="2" t="n">
        <v>10</v>
      </c>
      <c r="E39" s="3">
        <f>INDEX('03_主属性基础'!$F$2:$F$9,MATCH(B39,'03_主属性基础'!$E$2:$E$9,0))</f>
        <v/>
      </c>
      <c r="F39" s="3">
        <f>INDEX('02_品质等级'!$C$2:$C$6,MATCH(C39,'02_品质等级'!$A$2:$A$6,0))</f>
        <v/>
      </c>
      <c r="G39" s="3">
        <f>INDEX('03_主属性基础'!$J$2:$J$13,MATCH(D39,'03_主属性基础'!$I$2:$I$13,0))</f>
        <v/>
      </c>
      <c r="H39" s="3">
        <f>E39*F39*G39</f>
        <v/>
      </c>
    </row>
    <row r="40">
      <c r="A40" s="2" t="inlineStr">
        <is>
          <t>武器</t>
        </is>
      </c>
      <c r="B40" s="3">
        <f>INDEX('03_主属性基础'!$B$2:$B$9,MATCH(A40,'03_主属性基础'!$A$2:$A$9,0))</f>
        <v/>
      </c>
      <c r="C40" s="2" t="inlineStr">
        <is>
          <t>金</t>
        </is>
      </c>
      <c r="D40" s="2" t="n">
        <v>15</v>
      </c>
      <c r="E40" s="3">
        <f>INDEX('03_主属性基础'!$F$2:$F$9,MATCH(B40,'03_主属性基础'!$E$2:$E$9,0))</f>
        <v/>
      </c>
      <c r="F40" s="3">
        <f>INDEX('02_品质等级'!$C$2:$C$6,MATCH(C40,'02_品质等级'!$A$2:$A$6,0))</f>
        <v/>
      </c>
      <c r="G40" s="3">
        <f>INDEX('03_主属性基础'!$J$2:$J$13,MATCH(D40,'03_主属性基础'!$I$2:$I$13,0))</f>
        <v/>
      </c>
      <c r="H40" s="3">
        <f>E40*F40*G40</f>
        <v/>
      </c>
    </row>
    <row r="41">
      <c r="A41" s="2" t="inlineStr">
        <is>
          <t>武器</t>
        </is>
      </c>
      <c r="B41" s="3">
        <f>INDEX('03_主属性基础'!$B$2:$B$9,MATCH(A41,'03_主属性基础'!$A$2:$A$9,0))</f>
        <v/>
      </c>
      <c r="C41" s="2" t="inlineStr">
        <is>
          <t>金</t>
        </is>
      </c>
      <c r="D41" s="2" t="n">
        <v>20</v>
      </c>
      <c r="E41" s="3">
        <f>INDEX('03_主属性基础'!$F$2:$F$9,MATCH(B41,'03_主属性基础'!$E$2:$E$9,0))</f>
        <v/>
      </c>
      <c r="F41" s="3">
        <f>INDEX('02_品质等级'!$C$2:$C$6,MATCH(C41,'02_品质等级'!$A$2:$A$6,0))</f>
        <v/>
      </c>
      <c r="G41" s="3">
        <f>INDEX('03_主属性基础'!$J$2:$J$13,MATCH(D41,'03_主属性基础'!$I$2:$I$13,0))</f>
        <v/>
      </c>
      <c r="H41" s="3">
        <f>E41*F41*G41</f>
        <v/>
      </c>
    </row>
    <row r="42">
      <c r="A42" s="2" t="inlineStr">
        <is>
          <t>武器</t>
        </is>
      </c>
      <c r="B42" s="3">
        <f>INDEX('03_主属性基础'!$B$2:$B$9,MATCH(A42,'03_主属性基础'!$A$2:$A$9,0))</f>
        <v/>
      </c>
      <c r="C42" s="2" t="inlineStr">
        <is>
          <t>金</t>
        </is>
      </c>
      <c r="D42" s="2" t="n">
        <v>25</v>
      </c>
      <c r="E42" s="3">
        <f>INDEX('03_主属性基础'!$F$2:$F$9,MATCH(B42,'03_主属性基础'!$E$2:$E$9,0))</f>
        <v/>
      </c>
      <c r="F42" s="3">
        <f>INDEX('02_品质等级'!$C$2:$C$6,MATCH(C42,'02_品质等级'!$A$2:$A$6,0))</f>
        <v/>
      </c>
      <c r="G42" s="3">
        <f>INDEX('03_主属性基础'!$J$2:$J$13,MATCH(D42,'03_主属性基础'!$I$2:$I$13,0))</f>
        <v/>
      </c>
      <c r="H42" s="3">
        <f>E42*F42*G42</f>
        <v/>
      </c>
    </row>
    <row r="43">
      <c r="A43" s="2" t="inlineStr">
        <is>
          <t>武器</t>
        </is>
      </c>
      <c r="B43" s="3">
        <f>INDEX('03_主属性基础'!$B$2:$B$9,MATCH(A43,'03_主属性基础'!$A$2:$A$9,0))</f>
        <v/>
      </c>
      <c r="C43" s="2" t="inlineStr">
        <is>
          <t>金</t>
        </is>
      </c>
      <c r="D43" s="2" t="n">
        <v>30</v>
      </c>
      <c r="E43" s="3">
        <f>INDEX('03_主属性基础'!$F$2:$F$9,MATCH(B43,'03_主属性基础'!$E$2:$E$9,0))</f>
        <v/>
      </c>
      <c r="F43" s="3">
        <f>INDEX('02_品质等级'!$C$2:$C$6,MATCH(C43,'02_品质等级'!$A$2:$A$6,0))</f>
        <v/>
      </c>
      <c r="G43" s="3">
        <f>INDEX('03_主属性基础'!$J$2:$J$13,MATCH(D43,'03_主属性基础'!$I$2:$I$13,0))</f>
        <v/>
      </c>
      <c r="H43" s="3">
        <f>E43*F43*G43</f>
        <v/>
      </c>
    </row>
    <row r="44">
      <c r="A44" s="2" t="inlineStr">
        <is>
          <t>武器</t>
        </is>
      </c>
      <c r="B44" s="3">
        <f>INDEX('03_主属性基础'!$B$2:$B$9,MATCH(A44,'03_主属性基础'!$A$2:$A$9,0))</f>
        <v/>
      </c>
      <c r="C44" s="2" t="inlineStr">
        <is>
          <t>金</t>
        </is>
      </c>
      <c r="D44" s="2" t="n">
        <v>35</v>
      </c>
      <c r="E44" s="3">
        <f>INDEX('03_主属性基础'!$F$2:$F$9,MATCH(B44,'03_主属性基础'!$E$2:$E$9,0))</f>
        <v/>
      </c>
      <c r="F44" s="3">
        <f>INDEX('02_品质等级'!$C$2:$C$6,MATCH(C44,'02_品质等级'!$A$2:$A$6,0))</f>
        <v/>
      </c>
      <c r="G44" s="3">
        <f>INDEX('03_主属性基础'!$J$2:$J$13,MATCH(D44,'03_主属性基础'!$I$2:$I$13,0))</f>
        <v/>
      </c>
      <c r="H44" s="3">
        <f>E44*F44*G44</f>
        <v/>
      </c>
    </row>
    <row r="45">
      <c r="A45" s="2" t="inlineStr">
        <is>
          <t>武器</t>
        </is>
      </c>
      <c r="B45" s="3">
        <f>INDEX('03_主属性基础'!$B$2:$B$9,MATCH(A45,'03_主属性基础'!$A$2:$A$9,0))</f>
        <v/>
      </c>
      <c r="C45" s="2" t="inlineStr">
        <is>
          <t>金</t>
        </is>
      </c>
      <c r="D45" s="2" t="n">
        <v>40</v>
      </c>
      <c r="E45" s="3">
        <f>INDEX('03_主属性基础'!$F$2:$F$9,MATCH(B45,'03_主属性基础'!$E$2:$E$9,0))</f>
        <v/>
      </c>
      <c r="F45" s="3">
        <f>INDEX('02_品质等级'!$C$2:$C$6,MATCH(C45,'02_品质等级'!$A$2:$A$6,0))</f>
        <v/>
      </c>
      <c r="G45" s="3">
        <f>INDEX('03_主属性基础'!$J$2:$J$13,MATCH(D45,'03_主属性基础'!$I$2:$I$13,0))</f>
        <v/>
      </c>
      <c r="H45" s="3">
        <f>E45*F45*G45</f>
        <v/>
      </c>
    </row>
    <row r="46">
      <c r="A46" s="2" t="inlineStr">
        <is>
          <t>武器</t>
        </is>
      </c>
      <c r="B46" s="3">
        <f>INDEX('03_主属性基础'!$B$2:$B$9,MATCH(A46,'03_主属性基础'!$A$2:$A$9,0))</f>
        <v/>
      </c>
      <c r="C46" s="2" t="inlineStr">
        <is>
          <t>金</t>
        </is>
      </c>
      <c r="D46" s="2" t="n">
        <v>45</v>
      </c>
      <c r="E46" s="3">
        <f>INDEX('03_主属性基础'!$F$2:$F$9,MATCH(B46,'03_主属性基础'!$E$2:$E$9,0))</f>
        <v/>
      </c>
      <c r="F46" s="3">
        <f>INDEX('02_品质等级'!$C$2:$C$6,MATCH(C46,'02_品质等级'!$A$2:$A$6,0))</f>
        <v/>
      </c>
      <c r="G46" s="3">
        <f>INDEX('03_主属性基础'!$J$2:$J$13,MATCH(D46,'03_主属性基础'!$I$2:$I$13,0))</f>
        <v/>
      </c>
      <c r="H46" s="3">
        <f>E46*F46*G46</f>
        <v/>
      </c>
    </row>
    <row r="47">
      <c r="A47" s="2" t="inlineStr">
        <is>
          <t>武器</t>
        </is>
      </c>
      <c r="B47" s="3">
        <f>INDEX('03_主属性基础'!$B$2:$B$9,MATCH(A47,'03_主属性基础'!$A$2:$A$9,0))</f>
        <v/>
      </c>
      <c r="C47" s="2" t="inlineStr">
        <is>
          <t>金</t>
        </is>
      </c>
      <c r="D47" s="2" t="n">
        <v>50</v>
      </c>
      <c r="E47" s="3">
        <f>INDEX('03_主属性基础'!$F$2:$F$9,MATCH(B47,'03_主属性基础'!$E$2:$E$9,0))</f>
        <v/>
      </c>
      <c r="F47" s="3">
        <f>INDEX('02_品质等级'!$C$2:$C$6,MATCH(C47,'02_品质等级'!$A$2:$A$6,0))</f>
        <v/>
      </c>
      <c r="G47" s="3">
        <f>INDEX('03_主属性基础'!$J$2:$J$13,MATCH(D47,'03_主属性基础'!$I$2:$I$13,0))</f>
        <v/>
      </c>
      <c r="H47" s="3">
        <f>E47*F47*G47</f>
        <v/>
      </c>
    </row>
    <row r="48">
      <c r="A48" s="2" t="inlineStr">
        <is>
          <t>武器</t>
        </is>
      </c>
      <c r="B48" s="3">
        <f>INDEX('03_主属性基础'!$B$2:$B$9,MATCH(A48,'03_主属性基础'!$A$2:$A$9,0))</f>
        <v/>
      </c>
      <c r="C48" s="2" t="inlineStr">
        <is>
          <t>金</t>
        </is>
      </c>
      <c r="D48" s="2" t="n">
        <v>55</v>
      </c>
      <c r="E48" s="3">
        <f>INDEX('03_主属性基础'!$F$2:$F$9,MATCH(B48,'03_主属性基础'!$E$2:$E$9,0))</f>
        <v/>
      </c>
      <c r="F48" s="3">
        <f>INDEX('02_品质等级'!$C$2:$C$6,MATCH(C48,'02_品质等级'!$A$2:$A$6,0))</f>
        <v/>
      </c>
      <c r="G48" s="3">
        <f>INDEX('03_主属性基础'!$J$2:$J$13,MATCH(D48,'03_主属性基础'!$I$2:$I$13,0))</f>
        <v/>
      </c>
      <c r="H48" s="3">
        <f>E48*F48*G48</f>
        <v/>
      </c>
    </row>
    <row r="49">
      <c r="A49" s="2" t="inlineStr">
        <is>
          <t>武器</t>
        </is>
      </c>
      <c r="B49" s="3">
        <f>INDEX('03_主属性基础'!$B$2:$B$9,MATCH(A49,'03_主属性基础'!$A$2:$A$9,0))</f>
        <v/>
      </c>
      <c r="C49" s="2" t="inlineStr">
        <is>
          <t>金</t>
        </is>
      </c>
      <c r="D49" s="2" t="n">
        <v>60</v>
      </c>
      <c r="E49" s="3">
        <f>INDEX('03_主属性基础'!$F$2:$F$9,MATCH(B49,'03_主属性基础'!$E$2:$E$9,0))</f>
        <v/>
      </c>
      <c r="F49" s="3">
        <f>INDEX('02_品质等级'!$C$2:$C$6,MATCH(C49,'02_品质等级'!$A$2:$A$6,0))</f>
        <v/>
      </c>
      <c r="G49" s="3">
        <f>INDEX('03_主属性基础'!$J$2:$J$13,MATCH(D49,'03_主属性基础'!$I$2:$I$13,0))</f>
        <v/>
      </c>
      <c r="H49" s="3">
        <f>E49*F49*G49</f>
        <v/>
      </c>
    </row>
    <row r="50">
      <c r="A50" s="2" t="inlineStr">
        <is>
          <t>武器</t>
        </is>
      </c>
      <c r="B50" s="3">
        <f>INDEX('03_主属性基础'!$B$2:$B$9,MATCH(A50,'03_主属性基础'!$A$2:$A$9,0))</f>
        <v/>
      </c>
      <c r="C50" s="2" t="inlineStr">
        <is>
          <t>红</t>
        </is>
      </c>
      <c r="D50" s="2" t="n">
        <v>5</v>
      </c>
      <c r="E50" s="3">
        <f>INDEX('03_主属性基础'!$F$2:$F$9,MATCH(B50,'03_主属性基础'!$E$2:$E$9,0))</f>
        <v/>
      </c>
      <c r="F50" s="3">
        <f>INDEX('02_品质等级'!$C$2:$C$6,MATCH(C50,'02_品质等级'!$A$2:$A$6,0))</f>
        <v/>
      </c>
      <c r="G50" s="3">
        <f>INDEX('03_主属性基础'!$J$2:$J$13,MATCH(D50,'03_主属性基础'!$I$2:$I$13,0))</f>
        <v/>
      </c>
      <c r="H50" s="3">
        <f>E50*F50*G50</f>
        <v/>
      </c>
    </row>
    <row r="51">
      <c r="A51" s="2" t="inlineStr">
        <is>
          <t>武器</t>
        </is>
      </c>
      <c r="B51" s="3">
        <f>INDEX('03_主属性基础'!$B$2:$B$9,MATCH(A51,'03_主属性基础'!$A$2:$A$9,0))</f>
        <v/>
      </c>
      <c r="C51" s="2" t="inlineStr">
        <is>
          <t>红</t>
        </is>
      </c>
      <c r="D51" s="2" t="n">
        <v>10</v>
      </c>
      <c r="E51" s="3">
        <f>INDEX('03_主属性基础'!$F$2:$F$9,MATCH(B51,'03_主属性基础'!$E$2:$E$9,0))</f>
        <v/>
      </c>
      <c r="F51" s="3">
        <f>INDEX('02_品质等级'!$C$2:$C$6,MATCH(C51,'02_品质等级'!$A$2:$A$6,0))</f>
        <v/>
      </c>
      <c r="G51" s="3">
        <f>INDEX('03_主属性基础'!$J$2:$J$13,MATCH(D51,'03_主属性基础'!$I$2:$I$13,0))</f>
        <v/>
      </c>
      <c r="H51" s="3">
        <f>E51*F51*G51</f>
        <v/>
      </c>
    </row>
    <row r="52">
      <c r="A52" s="2" t="inlineStr">
        <is>
          <t>武器</t>
        </is>
      </c>
      <c r="B52" s="3">
        <f>INDEX('03_主属性基础'!$B$2:$B$9,MATCH(A52,'03_主属性基础'!$A$2:$A$9,0))</f>
        <v/>
      </c>
      <c r="C52" s="2" t="inlineStr">
        <is>
          <t>红</t>
        </is>
      </c>
      <c r="D52" s="2" t="n">
        <v>15</v>
      </c>
      <c r="E52" s="3">
        <f>INDEX('03_主属性基础'!$F$2:$F$9,MATCH(B52,'03_主属性基础'!$E$2:$E$9,0))</f>
        <v/>
      </c>
      <c r="F52" s="3">
        <f>INDEX('02_品质等级'!$C$2:$C$6,MATCH(C52,'02_品质等级'!$A$2:$A$6,0))</f>
        <v/>
      </c>
      <c r="G52" s="3">
        <f>INDEX('03_主属性基础'!$J$2:$J$13,MATCH(D52,'03_主属性基础'!$I$2:$I$13,0))</f>
        <v/>
      </c>
      <c r="H52" s="3">
        <f>E52*F52*G52</f>
        <v/>
      </c>
    </row>
    <row r="53">
      <c r="A53" s="2" t="inlineStr">
        <is>
          <t>武器</t>
        </is>
      </c>
      <c r="B53" s="3">
        <f>INDEX('03_主属性基础'!$B$2:$B$9,MATCH(A53,'03_主属性基础'!$A$2:$A$9,0))</f>
        <v/>
      </c>
      <c r="C53" s="2" t="inlineStr">
        <is>
          <t>红</t>
        </is>
      </c>
      <c r="D53" s="2" t="n">
        <v>20</v>
      </c>
      <c r="E53" s="3">
        <f>INDEX('03_主属性基础'!$F$2:$F$9,MATCH(B53,'03_主属性基础'!$E$2:$E$9,0))</f>
        <v/>
      </c>
      <c r="F53" s="3">
        <f>INDEX('02_品质等级'!$C$2:$C$6,MATCH(C53,'02_品质等级'!$A$2:$A$6,0))</f>
        <v/>
      </c>
      <c r="G53" s="3">
        <f>INDEX('03_主属性基础'!$J$2:$J$13,MATCH(D53,'03_主属性基础'!$I$2:$I$13,0))</f>
        <v/>
      </c>
      <c r="H53" s="3">
        <f>E53*F53*G53</f>
        <v/>
      </c>
    </row>
    <row r="54">
      <c r="A54" s="2" t="inlineStr">
        <is>
          <t>武器</t>
        </is>
      </c>
      <c r="B54" s="3">
        <f>INDEX('03_主属性基础'!$B$2:$B$9,MATCH(A54,'03_主属性基础'!$A$2:$A$9,0))</f>
        <v/>
      </c>
      <c r="C54" s="2" t="inlineStr">
        <is>
          <t>红</t>
        </is>
      </c>
      <c r="D54" s="2" t="n">
        <v>25</v>
      </c>
      <c r="E54" s="3">
        <f>INDEX('03_主属性基础'!$F$2:$F$9,MATCH(B54,'03_主属性基础'!$E$2:$E$9,0))</f>
        <v/>
      </c>
      <c r="F54" s="3">
        <f>INDEX('02_品质等级'!$C$2:$C$6,MATCH(C54,'02_品质等级'!$A$2:$A$6,0))</f>
        <v/>
      </c>
      <c r="G54" s="3">
        <f>INDEX('03_主属性基础'!$J$2:$J$13,MATCH(D54,'03_主属性基础'!$I$2:$I$13,0))</f>
        <v/>
      </c>
      <c r="H54" s="3">
        <f>E54*F54*G54</f>
        <v/>
      </c>
    </row>
    <row r="55">
      <c r="A55" s="2" t="inlineStr">
        <is>
          <t>武器</t>
        </is>
      </c>
      <c r="B55" s="3">
        <f>INDEX('03_主属性基础'!$B$2:$B$9,MATCH(A55,'03_主属性基础'!$A$2:$A$9,0))</f>
        <v/>
      </c>
      <c r="C55" s="2" t="inlineStr">
        <is>
          <t>红</t>
        </is>
      </c>
      <c r="D55" s="2" t="n">
        <v>30</v>
      </c>
      <c r="E55" s="3">
        <f>INDEX('03_主属性基础'!$F$2:$F$9,MATCH(B55,'03_主属性基础'!$E$2:$E$9,0))</f>
        <v/>
      </c>
      <c r="F55" s="3">
        <f>INDEX('02_品质等级'!$C$2:$C$6,MATCH(C55,'02_品质等级'!$A$2:$A$6,0))</f>
        <v/>
      </c>
      <c r="G55" s="3">
        <f>INDEX('03_主属性基础'!$J$2:$J$13,MATCH(D55,'03_主属性基础'!$I$2:$I$13,0))</f>
        <v/>
      </c>
      <c r="H55" s="3">
        <f>E55*F55*G55</f>
        <v/>
      </c>
    </row>
    <row r="56">
      <c r="A56" s="2" t="inlineStr">
        <is>
          <t>武器</t>
        </is>
      </c>
      <c r="B56" s="3">
        <f>INDEX('03_主属性基础'!$B$2:$B$9,MATCH(A56,'03_主属性基础'!$A$2:$A$9,0))</f>
        <v/>
      </c>
      <c r="C56" s="2" t="inlineStr">
        <is>
          <t>红</t>
        </is>
      </c>
      <c r="D56" s="2" t="n">
        <v>35</v>
      </c>
      <c r="E56" s="3">
        <f>INDEX('03_主属性基础'!$F$2:$F$9,MATCH(B56,'03_主属性基础'!$E$2:$E$9,0))</f>
        <v/>
      </c>
      <c r="F56" s="3">
        <f>INDEX('02_品质等级'!$C$2:$C$6,MATCH(C56,'02_品质等级'!$A$2:$A$6,0))</f>
        <v/>
      </c>
      <c r="G56" s="3">
        <f>INDEX('03_主属性基础'!$J$2:$J$13,MATCH(D56,'03_主属性基础'!$I$2:$I$13,0))</f>
        <v/>
      </c>
      <c r="H56" s="3">
        <f>E56*F56*G56</f>
        <v/>
      </c>
    </row>
    <row r="57">
      <c r="A57" s="2" t="inlineStr">
        <is>
          <t>武器</t>
        </is>
      </c>
      <c r="B57" s="3">
        <f>INDEX('03_主属性基础'!$B$2:$B$9,MATCH(A57,'03_主属性基础'!$A$2:$A$9,0))</f>
        <v/>
      </c>
      <c r="C57" s="2" t="inlineStr">
        <is>
          <t>红</t>
        </is>
      </c>
      <c r="D57" s="2" t="n">
        <v>40</v>
      </c>
      <c r="E57" s="3">
        <f>INDEX('03_主属性基础'!$F$2:$F$9,MATCH(B57,'03_主属性基础'!$E$2:$E$9,0))</f>
        <v/>
      </c>
      <c r="F57" s="3">
        <f>INDEX('02_品质等级'!$C$2:$C$6,MATCH(C57,'02_品质等级'!$A$2:$A$6,0))</f>
        <v/>
      </c>
      <c r="G57" s="3">
        <f>INDEX('03_主属性基础'!$J$2:$J$13,MATCH(D57,'03_主属性基础'!$I$2:$I$13,0))</f>
        <v/>
      </c>
      <c r="H57" s="3">
        <f>E57*F57*G57</f>
        <v/>
      </c>
    </row>
    <row r="58">
      <c r="A58" s="2" t="inlineStr">
        <is>
          <t>武器</t>
        </is>
      </c>
      <c r="B58" s="3">
        <f>INDEX('03_主属性基础'!$B$2:$B$9,MATCH(A58,'03_主属性基础'!$A$2:$A$9,0))</f>
        <v/>
      </c>
      <c r="C58" s="2" t="inlineStr">
        <is>
          <t>红</t>
        </is>
      </c>
      <c r="D58" s="2" t="n">
        <v>45</v>
      </c>
      <c r="E58" s="3">
        <f>INDEX('03_主属性基础'!$F$2:$F$9,MATCH(B58,'03_主属性基础'!$E$2:$E$9,0))</f>
        <v/>
      </c>
      <c r="F58" s="3">
        <f>INDEX('02_品质等级'!$C$2:$C$6,MATCH(C58,'02_品质等级'!$A$2:$A$6,0))</f>
        <v/>
      </c>
      <c r="G58" s="3">
        <f>INDEX('03_主属性基础'!$J$2:$J$13,MATCH(D58,'03_主属性基础'!$I$2:$I$13,0))</f>
        <v/>
      </c>
      <c r="H58" s="3">
        <f>E58*F58*G58</f>
        <v/>
      </c>
    </row>
    <row r="59">
      <c r="A59" s="2" t="inlineStr">
        <is>
          <t>武器</t>
        </is>
      </c>
      <c r="B59" s="3">
        <f>INDEX('03_主属性基础'!$B$2:$B$9,MATCH(A59,'03_主属性基础'!$A$2:$A$9,0))</f>
        <v/>
      </c>
      <c r="C59" s="2" t="inlineStr">
        <is>
          <t>红</t>
        </is>
      </c>
      <c r="D59" s="2" t="n">
        <v>50</v>
      </c>
      <c r="E59" s="3">
        <f>INDEX('03_主属性基础'!$F$2:$F$9,MATCH(B59,'03_主属性基础'!$E$2:$E$9,0))</f>
        <v/>
      </c>
      <c r="F59" s="3">
        <f>INDEX('02_品质等级'!$C$2:$C$6,MATCH(C59,'02_品质等级'!$A$2:$A$6,0))</f>
        <v/>
      </c>
      <c r="G59" s="3">
        <f>INDEX('03_主属性基础'!$J$2:$J$13,MATCH(D59,'03_主属性基础'!$I$2:$I$13,0))</f>
        <v/>
      </c>
      <c r="H59" s="3">
        <f>E59*F59*G59</f>
        <v/>
      </c>
    </row>
    <row r="60">
      <c r="A60" s="2" t="inlineStr">
        <is>
          <t>武器</t>
        </is>
      </c>
      <c r="B60" s="3">
        <f>INDEX('03_主属性基础'!$B$2:$B$9,MATCH(A60,'03_主属性基础'!$A$2:$A$9,0))</f>
        <v/>
      </c>
      <c r="C60" s="2" t="inlineStr">
        <is>
          <t>红</t>
        </is>
      </c>
      <c r="D60" s="2" t="n">
        <v>55</v>
      </c>
      <c r="E60" s="3">
        <f>INDEX('03_主属性基础'!$F$2:$F$9,MATCH(B60,'03_主属性基础'!$E$2:$E$9,0))</f>
        <v/>
      </c>
      <c r="F60" s="3">
        <f>INDEX('02_品质等级'!$C$2:$C$6,MATCH(C60,'02_品质等级'!$A$2:$A$6,0))</f>
        <v/>
      </c>
      <c r="G60" s="3">
        <f>INDEX('03_主属性基础'!$J$2:$J$13,MATCH(D60,'03_主属性基础'!$I$2:$I$13,0))</f>
        <v/>
      </c>
      <c r="H60" s="3">
        <f>E60*F60*G60</f>
        <v/>
      </c>
    </row>
    <row r="61">
      <c r="A61" s="2" t="inlineStr">
        <is>
          <t>武器</t>
        </is>
      </c>
      <c r="B61" s="3">
        <f>INDEX('03_主属性基础'!$B$2:$B$9,MATCH(A61,'03_主属性基础'!$A$2:$A$9,0))</f>
        <v/>
      </c>
      <c r="C61" s="2" t="inlineStr">
        <is>
          <t>红</t>
        </is>
      </c>
      <c r="D61" s="2" t="n">
        <v>60</v>
      </c>
      <c r="E61" s="3">
        <f>INDEX('03_主属性基础'!$F$2:$F$9,MATCH(B61,'03_主属性基础'!$E$2:$E$9,0))</f>
        <v/>
      </c>
      <c r="F61" s="3">
        <f>INDEX('02_品质等级'!$C$2:$C$6,MATCH(C61,'02_品质等级'!$A$2:$A$6,0))</f>
        <v/>
      </c>
      <c r="G61" s="3">
        <f>INDEX('03_主属性基础'!$J$2:$J$13,MATCH(D61,'03_主属性基础'!$I$2:$I$13,0))</f>
        <v/>
      </c>
      <c r="H61" s="3">
        <f>E61*F61*G61</f>
        <v/>
      </c>
    </row>
    <row r="62">
      <c r="A62" s="2" t="inlineStr">
        <is>
          <t>头盔</t>
        </is>
      </c>
      <c r="B62" s="3">
        <f>INDEX('03_主属性基础'!$B$2:$B$9,MATCH(A62,'03_主属性基础'!$A$2:$A$9,0))</f>
        <v/>
      </c>
      <c r="C62" s="2" t="inlineStr">
        <is>
          <t>绿</t>
        </is>
      </c>
      <c r="D62" s="2" t="n">
        <v>5</v>
      </c>
      <c r="E62" s="3">
        <f>INDEX('03_主属性基础'!$F$2:$F$9,MATCH(B62,'03_主属性基础'!$E$2:$E$9,0))</f>
        <v/>
      </c>
      <c r="F62" s="3">
        <f>INDEX('02_品质等级'!$C$2:$C$6,MATCH(C62,'02_品质等级'!$A$2:$A$6,0))</f>
        <v/>
      </c>
      <c r="G62" s="3">
        <f>INDEX('03_主属性基础'!$J$2:$J$13,MATCH(D62,'03_主属性基础'!$I$2:$I$13,0))</f>
        <v/>
      </c>
      <c r="H62" s="3">
        <f>E62*F62*G62</f>
        <v/>
      </c>
    </row>
    <row r="63">
      <c r="A63" s="2" t="inlineStr">
        <is>
          <t>头盔</t>
        </is>
      </c>
      <c r="B63" s="3">
        <f>INDEX('03_主属性基础'!$B$2:$B$9,MATCH(A63,'03_主属性基础'!$A$2:$A$9,0))</f>
        <v/>
      </c>
      <c r="C63" s="2" t="inlineStr">
        <is>
          <t>绿</t>
        </is>
      </c>
      <c r="D63" s="2" t="n">
        <v>10</v>
      </c>
      <c r="E63" s="3">
        <f>INDEX('03_主属性基础'!$F$2:$F$9,MATCH(B63,'03_主属性基础'!$E$2:$E$9,0))</f>
        <v/>
      </c>
      <c r="F63" s="3">
        <f>INDEX('02_品质等级'!$C$2:$C$6,MATCH(C63,'02_品质等级'!$A$2:$A$6,0))</f>
        <v/>
      </c>
      <c r="G63" s="3">
        <f>INDEX('03_主属性基础'!$J$2:$J$13,MATCH(D63,'03_主属性基础'!$I$2:$I$13,0))</f>
        <v/>
      </c>
      <c r="H63" s="3">
        <f>E63*F63*G63</f>
        <v/>
      </c>
    </row>
    <row r="64">
      <c r="A64" s="2" t="inlineStr">
        <is>
          <t>头盔</t>
        </is>
      </c>
      <c r="B64" s="3">
        <f>INDEX('03_主属性基础'!$B$2:$B$9,MATCH(A64,'03_主属性基础'!$A$2:$A$9,0))</f>
        <v/>
      </c>
      <c r="C64" s="2" t="inlineStr">
        <is>
          <t>绿</t>
        </is>
      </c>
      <c r="D64" s="2" t="n">
        <v>15</v>
      </c>
      <c r="E64" s="3">
        <f>INDEX('03_主属性基础'!$F$2:$F$9,MATCH(B64,'03_主属性基础'!$E$2:$E$9,0))</f>
        <v/>
      </c>
      <c r="F64" s="3">
        <f>INDEX('02_品质等级'!$C$2:$C$6,MATCH(C64,'02_品质等级'!$A$2:$A$6,0))</f>
        <v/>
      </c>
      <c r="G64" s="3">
        <f>INDEX('03_主属性基础'!$J$2:$J$13,MATCH(D64,'03_主属性基础'!$I$2:$I$13,0))</f>
        <v/>
      </c>
      <c r="H64" s="3">
        <f>E64*F64*G64</f>
        <v/>
      </c>
    </row>
    <row r="65">
      <c r="A65" s="2" t="inlineStr">
        <is>
          <t>头盔</t>
        </is>
      </c>
      <c r="B65" s="3">
        <f>INDEX('03_主属性基础'!$B$2:$B$9,MATCH(A65,'03_主属性基础'!$A$2:$A$9,0))</f>
        <v/>
      </c>
      <c r="C65" s="2" t="inlineStr">
        <is>
          <t>绿</t>
        </is>
      </c>
      <c r="D65" s="2" t="n">
        <v>20</v>
      </c>
      <c r="E65" s="3">
        <f>INDEX('03_主属性基础'!$F$2:$F$9,MATCH(B65,'03_主属性基础'!$E$2:$E$9,0))</f>
        <v/>
      </c>
      <c r="F65" s="3">
        <f>INDEX('02_品质等级'!$C$2:$C$6,MATCH(C65,'02_品质等级'!$A$2:$A$6,0))</f>
        <v/>
      </c>
      <c r="G65" s="3">
        <f>INDEX('03_主属性基础'!$J$2:$J$13,MATCH(D65,'03_主属性基础'!$I$2:$I$13,0))</f>
        <v/>
      </c>
      <c r="H65" s="3">
        <f>E65*F65*G65</f>
        <v/>
      </c>
    </row>
    <row r="66">
      <c r="A66" s="2" t="inlineStr">
        <is>
          <t>头盔</t>
        </is>
      </c>
      <c r="B66" s="3">
        <f>INDEX('03_主属性基础'!$B$2:$B$9,MATCH(A66,'03_主属性基础'!$A$2:$A$9,0))</f>
        <v/>
      </c>
      <c r="C66" s="2" t="inlineStr">
        <is>
          <t>绿</t>
        </is>
      </c>
      <c r="D66" s="2" t="n">
        <v>25</v>
      </c>
      <c r="E66" s="3">
        <f>INDEX('03_主属性基础'!$F$2:$F$9,MATCH(B66,'03_主属性基础'!$E$2:$E$9,0))</f>
        <v/>
      </c>
      <c r="F66" s="3">
        <f>INDEX('02_品质等级'!$C$2:$C$6,MATCH(C66,'02_品质等级'!$A$2:$A$6,0))</f>
        <v/>
      </c>
      <c r="G66" s="3">
        <f>INDEX('03_主属性基础'!$J$2:$J$13,MATCH(D66,'03_主属性基础'!$I$2:$I$13,0))</f>
        <v/>
      </c>
      <c r="H66" s="3">
        <f>E66*F66*G66</f>
        <v/>
      </c>
    </row>
    <row r="67">
      <c r="A67" s="2" t="inlineStr">
        <is>
          <t>头盔</t>
        </is>
      </c>
      <c r="B67" s="3">
        <f>INDEX('03_主属性基础'!$B$2:$B$9,MATCH(A67,'03_主属性基础'!$A$2:$A$9,0))</f>
        <v/>
      </c>
      <c r="C67" s="2" t="inlineStr">
        <is>
          <t>绿</t>
        </is>
      </c>
      <c r="D67" s="2" t="n">
        <v>30</v>
      </c>
      <c r="E67" s="3">
        <f>INDEX('03_主属性基础'!$F$2:$F$9,MATCH(B67,'03_主属性基础'!$E$2:$E$9,0))</f>
        <v/>
      </c>
      <c r="F67" s="3">
        <f>INDEX('02_品质等级'!$C$2:$C$6,MATCH(C67,'02_品质等级'!$A$2:$A$6,0))</f>
        <v/>
      </c>
      <c r="G67" s="3">
        <f>INDEX('03_主属性基础'!$J$2:$J$13,MATCH(D67,'03_主属性基础'!$I$2:$I$13,0))</f>
        <v/>
      </c>
      <c r="H67" s="3">
        <f>E67*F67*G67</f>
        <v/>
      </c>
    </row>
    <row r="68">
      <c r="A68" s="2" t="inlineStr">
        <is>
          <t>头盔</t>
        </is>
      </c>
      <c r="B68" s="3">
        <f>INDEX('03_主属性基础'!$B$2:$B$9,MATCH(A68,'03_主属性基础'!$A$2:$A$9,0))</f>
        <v/>
      </c>
      <c r="C68" s="2" t="inlineStr">
        <is>
          <t>绿</t>
        </is>
      </c>
      <c r="D68" s="2" t="n">
        <v>35</v>
      </c>
      <c r="E68" s="3">
        <f>INDEX('03_主属性基础'!$F$2:$F$9,MATCH(B68,'03_主属性基础'!$E$2:$E$9,0))</f>
        <v/>
      </c>
      <c r="F68" s="3">
        <f>INDEX('02_品质等级'!$C$2:$C$6,MATCH(C68,'02_品质等级'!$A$2:$A$6,0))</f>
        <v/>
      </c>
      <c r="G68" s="3">
        <f>INDEX('03_主属性基础'!$J$2:$J$13,MATCH(D68,'03_主属性基础'!$I$2:$I$13,0))</f>
        <v/>
      </c>
      <c r="H68" s="3">
        <f>E68*F68*G68</f>
        <v/>
      </c>
    </row>
    <row r="69">
      <c r="A69" s="2" t="inlineStr">
        <is>
          <t>头盔</t>
        </is>
      </c>
      <c r="B69" s="3">
        <f>INDEX('03_主属性基础'!$B$2:$B$9,MATCH(A69,'03_主属性基础'!$A$2:$A$9,0))</f>
        <v/>
      </c>
      <c r="C69" s="2" t="inlineStr">
        <is>
          <t>绿</t>
        </is>
      </c>
      <c r="D69" s="2" t="n">
        <v>40</v>
      </c>
      <c r="E69" s="3">
        <f>INDEX('03_主属性基础'!$F$2:$F$9,MATCH(B69,'03_主属性基础'!$E$2:$E$9,0))</f>
        <v/>
      </c>
      <c r="F69" s="3">
        <f>INDEX('02_品质等级'!$C$2:$C$6,MATCH(C69,'02_品质等级'!$A$2:$A$6,0))</f>
        <v/>
      </c>
      <c r="G69" s="3">
        <f>INDEX('03_主属性基础'!$J$2:$J$13,MATCH(D69,'03_主属性基础'!$I$2:$I$13,0))</f>
        <v/>
      </c>
      <c r="H69" s="3">
        <f>E69*F69*G69</f>
        <v/>
      </c>
    </row>
    <row r="70">
      <c r="A70" s="2" t="inlineStr">
        <is>
          <t>头盔</t>
        </is>
      </c>
      <c r="B70" s="3">
        <f>INDEX('03_主属性基础'!$B$2:$B$9,MATCH(A70,'03_主属性基础'!$A$2:$A$9,0))</f>
        <v/>
      </c>
      <c r="C70" s="2" t="inlineStr">
        <is>
          <t>绿</t>
        </is>
      </c>
      <c r="D70" s="2" t="n">
        <v>45</v>
      </c>
      <c r="E70" s="3">
        <f>INDEX('03_主属性基础'!$F$2:$F$9,MATCH(B70,'03_主属性基础'!$E$2:$E$9,0))</f>
        <v/>
      </c>
      <c r="F70" s="3">
        <f>INDEX('02_品质等级'!$C$2:$C$6,MATCH(C70,'02_品质等级'!$A$2:$A$6,0))</f>
        <v/>
      </c>
      <c r="G70" s="3">
        <f>INDEX('03_主属性基础'!$J$2:$J$13,MATCH(D70,'03_主属性基础'!$I$2:$I$13,0))</f>
        <v/>
      </c>
      <c r="H70" s="3">
        <f>E70*F70*G70</f>
        <v/>
      </c>
    </row>
    <row r="71">
      <c r="A71" s="2" t="inlineStr">
        <is>
          <t>头盔</t>
        </is>
      </c>
      <c r="B71" s="3">
        <f>INDEX('03_主属性基础'!$B$2:$B$9,MATCH(A71,'03_主属性基础'!$A$2:$A$9,0))</f>
        <v/>
      </c>
      <c r="C71" s="2" t="inlineStr">
        <is>
          <t>绿</t>
        </is>
      </c>
      <c r="D71" s="2" t="n">
        <v>50</v>
      </c>
      <c r="E71" s="3">
        <f>INDEX('03_主属性基础'!$F$2:$F$9,MATCH(B71,'03_主属性基础'!$E$2:$E$9,0))</f>
        <v/>
      </c>
      <c r="F71" s="3">
        <f>INDEX('02_品质等级'!$C$2:$C$6,MATCH(C71,'02_品质等级'!$A$2:$A$6,0))</f>
        <v/>
      </c>
      <c r="G71" s="3">
        <f>INDEX('03_主属性基础'!$J$2:$J$13,MATCH(D71,'03_主属性基础'!$I$2:$I$13,0))</f>
        <v/>
      </c>
      <c r="H71" s="3">
        <f>E71*F71*G71</f>
        <v/>
      </c>
    </row>
    <row r="72">
      <c r="A72" s="2" t="inlineStr">
        <is>
          <t>头盔</t>
        </is>
      </c>
      <c r="B72" s="3">
        <f>INDEX('03_主属性基础'!$B$2:$B$9,MATCH(A72,'03_主属性基础'!$A$2:$A$9,0))</f>
        <v/>
      </c>
      <c r="C72" s="2" t="inlineStr">
        <is>
          <t>绿</t>
        </is>
      </c>
      <c r="D72" s="2" t="n">
        <v>55</v>
      </c>
      <c r="E72" s="3">
        <f>INDEX('03_主属性基础'!$F$2:$F$9,MATCH(B72,'03_主属性基础'!$E$2:$E$9,0))</f>
        <v/>
      </c>
      <c r="F72" s="3">
        <f>INDEX('02_品质等级'!$C$2:$C$6,MATCH(C72,'02_品质等级'!$A$2:$A$6,0))</f>
        <v/>
      </c>
      <c r="G72" s="3">
        <f>INDEX('03_主属性基础'!$J$2:$J$13,MATCH(D72,'03_主属性基础'!$I$2:$I$13,0))</f>
        <v/>
      </c>
      <c r="H72" s="3">
        <f>E72*F72*G72</f>
        <v/>
      </c>
    </row>
    <row r="73">
      <c r="A73" s="2" t="inlineStr">
        <is>
          <t>头盔</t>
        </is>
      </c>
      <c r="B73" s="3">
        <f>INDEX('03_主属性基础'!$B$2:$B$9,MATCH(A73,'03_主属性基础'!$A$2:$A$9,0))</f>
        <v/>
      </c>
      <c r="C73" s="2" t="inlineStr">
        <is>
          <t>绿</t>
        </is>
      </c>
      <c r="D73" s="2" t="n">
        <v>60</v>
      </c>
      <c r="E73" s="3">
        <f>INDEX('03_主属性基础'!$F$2:$F$9,MATCH(B73,'03_主属性基础'!$E$2:$E$9,0))</f>
        <v/>
      </c>
      <c r="F73" s="3">
        <f>INDEX('02_品质等级'!$C$2:$C$6,MATCH(C73,'02_品质等级'!$A$2:$A$6,0))</f>
        <v/>
      </c>
      <c r="G73" s="3">
        <f>INDEX('03_主属性基础'!$J$2:$J$13,MATCH(D73,'03_主属性基础'!$I$2:$I$13,0))</f>
        <v/>
      </c>
      <c r="H73" s="3">
        <f>E73*F73*G73</f>
        <v/>
      </c>
    </row>
    <row r="74">
      <c r="A74" s="2" t="inlineStr">
        <is>
          <t>头盔</t>
        </is>
      </c>
      <c r="B74" s="3">
        <f>INDEX('03_主属性基础'!$B$2:$B$9,MATCH(A74,'03_主属性基础'!$A$2:$A$9,0))</f>
        <v/>
      </c>
      <c r="C74" s="2" t="inlineStr">
        <is>
          <t>蓝</t>
        </is>
      </c>
      <c r="D74" s="2" t="n">
        <v>5</v>
      </c>
      <c r="E74" s="3">
        <f>INDEX('03_主属性基础'!$F$2:$F$9,MATCH(B74,'03_主属性基础'!$E$2:$E$9,0))</f>
        <v/>
      </c>
      <c r="F74" s="3">
        <f>INDEX('02_品质等级'!$C$2:$C$6,MATCH(C74,'02_品质等级'!$A$2:$A$6,0))</f>
        <v/>
      </c>
      <c r="G74" s="3">
        <f>INDEX('03_主属性基础'!$J$2:$J$13,MATCH(D74,'03_主属性基础'!$I$2:$I$13,0))</f>
        <v/>
      </c>
      <c r="H74" s="3">
        <f>E74*F74*G74</f>
        <v/>
      </c>
    </row>
    <row r="75">
      <c r="A75" s="2" t="inlineStr">
        <is>
          <t>头盔</t>
        </is>
      </c>
      <c r="B75" s="3">
        <f>INDEX('03_主属性基础'!$B$2:$B$9,MATCH(A75,'03_主属性基础'!$A$2:$A$9,0))</f>
        <v/>
      </c>
      <c r="C75" s="2" t="inlineStr">
        <is>
          <t>蓝</t>
        </is>
      </c>
      <c r="D75" s="2" t="n">
        <v>10</v>
      </c>
      <c r="E75" s="3">
        <f>INDEX('03_主属性基础'!$F$2:$F$9,MATCH(B75,'03_主属性基础'!$E$2:$E$9,0))</f>
        <v/>
      </c>
      <c r="F75" s="3">
        <f>INDEX('02_品质等级'!$C$2:$C$6,MATCH(C75,'02_品质等级'!$A$2:$A$6,0))</f>
        <v/>
      </c>
      <c r="G75" s="3">
        <f>INDEX('03_主属性基础'!$J$2:$J$13,MATCH(D75,'03_主属性基础'!$I$2:$I$13,0))</f>
        <v/>
      </c>
      <c r="H75" s="3">
        <f>E75*F75*G75</f>
        <v/>
      </c>
    </row>
    <row r="76">
      <c r="A76" s="2" t="inlineStr">
        <is>
          <t>头盔</t>
        </is>
      </c>
      <c r="B76" s="3">
        <f>INDEX('03_主属性基础'!$B$2:$B$9,MATCH(A76,'03_主属性基础'!$A$2:$A$9,0))</f>
        <v/>
      </c>
      <c r="C76" s="2" t="inlineStr">
        <is>
          <t>蓝</t>
        </is>
      </c>
      <c r="D76" s="2" t="n">
        <v>15</v>
      </c>
      <c r="E76" s="3">
        <f>INDEX('03_主属性基础'!$F$2:$F$9,MATCH(B76,'03_主属性基础'!$E$2:$E$9,0))</f>
        <v/>
      </c>
      <c r="F76" s="3">
        <f>INDEX('02_品质等级'!$C$2:$C$6,MATCH(C76,'02_品质等级'!$A$2:$A$6,0))</f>
        <v/>
      </c>
      <c r="G76" s="3">
        <f>INDEX('03_主属性基础'!$J$2:$J$13,MATCH(D76,'03_主属性基础'!$I$2:$I$13,0))</f>
        <v/>
      </c>
      <c r="H76" s="3">
        <f>E76*F76*G76</f>
        <v/>
      </c>
    </row>
    <row r="77">
      <c r="A77" s="2" t="inlineStr">
        <is>
          <t>头盔</t>
        </is>
      </c>
      <c r="B77" s="3">
        <f>INDEX('03_主属性基础'!$B$2:$B$9,MATCH(A77,'03_主属性基础'!$A$2:$A$9,0))</f>
        <v/>
      </c>
      <c r="C77" s="2" t="inlineStr">
        <is>
          <t>蓝</t>
        </is>
      </c>
      <c r="D77" s="2" t="n">
        <v>20</v>
      </c>
      <c r="E77" s="3">
        <f>INDEX('03_主属性基础'!$F$2:$F$9,MATCH(B77,'03_主属性基础'!$E$2:$E$9,0))</f>
        <v/>
      </c>
      <c r="F77" s="3">
        <f>INDEX('02_品质等级'!$C$2:$C$6,MATCH(C77,'02_品质等级'!$A$2:$A$6,0))</f>
        <v/>
      </c>
      <c r="G77" s="3">
        <f>INDEX('03_主属性基础'!$J$2:$J$13,MATCH(D77,'03_主属性基础'!$I$2:$I$13,0))</f>
        <v/>
      </c>
      <c r="H77" s="3">
        <f>E77*F77*G77</f>
        <v/>
      </c>
    </row>
    <row r="78">
      <c r="A78" s="2" t="inlineStr">
        <is>
          <t>头盔</t>
        </is>
      </c>
      <c r="B78" s="3">
        <f>INDEX('03_主属性基础'!$B$2:$B$9,MATCH(A78,'03_主属性基础'!$A$2:$A$9,0))</f>
        <v/>
      </c>
      <c r="C78" s="2" t="inlineStr">
        <is>
          <t>蓝</t>
        </is>
      </c>
      <c r="D78" s="2" t="n">
        <v>25</v>
      </c>
      <c r="E78" s="3">
        <f>INDEX('03_主属性基础'!$F$2:$F$9,MATCH(B78,'03_主属性基础'!$E$2:$E$9,0))</f>
        <v/>
      </c>
      <c r="F78" s="3">
        <f>INDEX('02_品质等级'!$C$2:$C$6,MATCH(C78,'02_品质等级'!$A$2:$A$6,0))</f>
        <v/>
      </c>
      <c r="G78" s="3">
        <f>INDEX('03_主属性基础'!$J$2:$J$13,MATCH(D78,'03_主属性基础'!$I$2:$I$13,0))</f>
        <v/>
      </c>
      <c r="H78" s="3">
        <f>E78*F78*G78</f>
        <v/>
      </c>
    </row>
    <row r="79">
      <c r="A79" s="2" t="inlineStr">
        <is>
          <t>头盔</t>
        </is>
      </c>
      <c r="B79" s="3">
        <f>INDEX('03_主属性基础'!$B$2:$B$9,MATCH(A79,'03_主属性基础'!$A$2:$A$9,0))</f>
        <v/>
      </c>
      <c r="C79" s="2" t="inlineStr">
        <is>
          <t>蓝</t>
        </is>
      </c>
      <c r="D79" s="2" t="n">
        <v>30</v>
      </c>
      <c r="E79" s="3">
        <f>INDEX('03_主属性基础'!$F$2:$F$9,MATCH(B79,'03_主属性基础'!$E$2:$E$9,0))</f>
        <v/>
      </c>
      <c r="F79" s="3">
        <f>INDEX('02_品质等级'!$C$2:$C$6,MATCH(C79,'02_品质等级'!$A$2:$A$6,0))</f>
        <v/>
      </c>
      <c r="G79" s="3">
        <f>INDEX('03_主属性基础'!$J$2:$J$13,MATCH(D79,'03_主属性基础'!$I$2:$I$13,0))</f>
        <v/>
      </c>
      <c r="H79" s="3">
        <f>E79*F79*G79</f>
        <v/>
      </c>
    </row>
    <row r="80">
      <c r="A80" s="2" t="inlineStr">
        <is>
          <t>头盔</t>
        </is>
      </c>
      <c r="B80" s="3">
        <f>INDEX('03_主属性基础'!$B$2:$B$9,MATCH(A80,'03_主属性基础'!$A$2:$A$9,0))</f>
        <v/>
      </c>
      <c r="C80" s="2" t="inlineStr">
        <is>
          <t>蓝</t>
        </is>
      </c>
      <c r="D80" s="2" t="n">
        <v>35</v>
      </c>
      <c r="E80" s="3">
        <f>INDEX('03_主属性基础'!$F$2:$F$9,MATCH(B80,'03_主属性基础'!$E$2:$E$9,0))</f>
        <v/>
      </c>
      <c r="F80" s="3">
        <f>INDEX('02_品质等级'!$C$2:$C$6,MATCH(C80,'02_品质等级'!$A$2:$A$6,0))</f>
        <v/>
      </c>
      <c r="G80" s="3">
        <f>INDEX('03_主属性基础'!$J$2:$J$13,MATCH(D80,'03_主属性基础'!$I$2:$I$13,0))</f>
        <v/>
      </c>
      <c r="H80" s="3">
        <f>E80*F80*G80</f>
        <v/>
      </c>
    </row>
    <row r="81">
      <c r="A81" s="2" t="inlineStr">
        <is>
          <t>头盔</t>
        </is>
      </c>
      <c r="B81" s="3">
        <f>INDEX('03_主属性基础'!$B$2:$B$9,MATCH(A81,'03_主属性基础'!$A$2:$A$9,0))</f>
        <v/>
      </c>
      <c r="C81" s="2" t="inlineStr">
        <is>
          <t>蓝</t>
        </is>
      </c>
      <c r="D81" s="2" t="n">
        <v>40</v>
      </c>
      <c r="E81" s="3">
        <f>INDEX('03_主属性基础'!$F$2:$F$9,MATCH(B81,'03_主属性基础'!$E$2:$E$9,0))</f>
        <v/>
      </c>
      <c r="F81" s="3">
        <f>INDEX('02_品质等级'!$C$2:$C$6,MATCH(C81,'02_品质等级'!$A$2:$A$6,0))</f>
        <v/>
      </c>
      <c r="G81" s="3">
        <f>INDEX('03_主属性基础'!$J$2:$J$13,MATCH(D81,'03_主属性基础'!$I$2:$I$13,0))</f>
        <v/>
      </c>
      <c r="H81" s="3">
        <f>E81*F81*G81</f>
        <v/>
      </c>
    </row>
    <row r="82">
      <c r="A82" s="2" t="inlineStr">
        <is>
          <t>头盔</t>
        </is>
      </c>
      <c r="B82" s="3">
        <f>INDEX('03_主属性基础'!$B$2:$B$9,MATCH(A82,'03_主属性基础'!$A$2:$A$9,0))</f>
        <v/>
      </c>
      <c r="C82" s="2" t="inlineStr">
        <is>
          <t>蓝</t>
        </is>
      </c>
      <c r="D82" s="2" t="n">
        <v>45</v>
      </c>
      <c r="E82" s="3">
        <f>INDEX('03_主属性基础'!$F$2:$F$9,MATCH(B82,'03_主属性基础'!$E$2:$E$9,0))</f>
        <v/>
      </c>
      <c r="F82" s="3">
        <f>INDEX('02_品质等级'!$C$2:$C$6,MATCH(C82,'02_品质等级'!$A$2:$A$6,0))</f>
        <v/>
      </c>
      <c r="G82" s="3">
        <f>INDEX('03_主属性基础'!$J$2:$J$13,MATCH(D82,'03_主属性基础'!$I$2:$I$13,0))</f>
        <v/>
      </c>
      <c r="H82" s="3">
        <f>E82*F82*G82</f>
        <v/>
      </c>
    </row>
    <row r="83">
      <c r="A83" s="2" t="inlineStr">
        <is>
          <t>头盔</t>
        </is>
      </c>
      <c r="B83" s="3">
        <f>INDEX('03_主属性基础'!$B$2:$B$9,MATCH(A83,'03_主属性基础'!$A$2:$A$9,0))</f>
        <v/>
      </c>
      <c r="C83" s="2" t="inlineStr">
        <is>
          <t>蓝</t>
        </is>
      </c>
      <c r="D83" s="2" t="n">
        <v>50</v>
      </c>
      <c r="E83" s="3">
        <f>INDEX('03_主属性基础'!$F$2:$F$9,MATCH(B83,'03_主属性基础'!$E$2:$E$9,0))</f>
        <v/>
      </c>
      <c r="F83" s="3">
        <f>INDEX('02_品质等级'!$C$2:$C$6,MATCH(C83,'02_品质等级'!$A$2:$A$6,0))</f>
        <v/>
      </c>
      <c r="G83" s="3">
        <f>INDEX('03_主属性基础'!$J$2:$J$13,MATCH(D83,'03_主属性基础'!$I$2:$I$13,0))</f>
        <v/>
      </c>
      <c r="H83" s="3">
        <f>E83*F83*G83</f>
        <v/>
      </c>
    </row>
    <row r="84">
      <c r="A84" s="2" t="inlineStr">
        <is>
          <t>头盔</t>
        </is>
      </c>
      <c r="B84" s="3">
        <f>INDEX('03_主属性基础'!$B$2:$B$9,MATCH(A84,'03_主属性基础'!$A$2:$A$9,0))</f>
        <v/>
      </c>
      <c r="C84" s="2" t="inlineStr">
        <is>
          <t>蓝</t>
        </is>
      </c>
      <c r="D84" s="2" t="n">
        <v>55</v>
      </c>
      <c r="E84" s="3">
        <f>INDEX('03_主属性基础'!$F$2:$F$9,MATCH(B84,'03_主属性基础'!$E$2:$E$9,0))</f>
        <v/>
      </c>
      <c r="F84" s="3">
        <f>INDEX('02_品质等级'!$C$2:$C$6,MATCH(C84,'02_品质等级'!$A$2:$A$6,0))</f>
        <v/>
      </c>
      <c r="G84" s="3">
        <f>INDEX('03_主属性基础'!$J$2:$J$13,MATCH(D84,'03_主属性基础'!$I$2:$I$13,0))</f>
        <v/>
      </c>
      <c r="H84" s="3">
        <f>E84*F84*G84</f>
        <v/>
      </c>
    </row>
    <row r="85">
      <c r="A85" s="2" t="inlineStr">
        <is>
          <t>头盔</t>
        </is>
      </c>
      <c r="B85" s="3">
        <f>INDEX('03_主属性基础'!$B$2:$B$9,MATCH(A85,'03_主属性基础'!$A$2:$A$9,0))</f>
        <v/>
      </c>
      <c r="C85" s="2" t="inlineStr">
        <is>
          <t>蓝</t>
        </is>
      </c>
      <c r="D85" s="2" t="n">
        <v>60</v>
      </c>
      <c r="E85" s="3">
        <f>INDEX('03_主属性基础'!$F$2:$F$9,MATCH(B85,'03_主属性基础'!$E$2:$E$9,0))</f>
        <v/>
      </c>
      <c r="F85" s="3">
        <f>INDEX('02_品质等级'!$C$2:$C$6,MATCH(C85,'02_品质等级'!$A$2:$A$6,0))</f>
        <v/>
      </c>
      <c r="G85" s="3">
        <f>INDEX('03_主属性基础'!$J$2:$J$13,MATCH(D85,'03_主属性基础'!$I$2:$I$13,0))</f>
        <v/>
      </c>
      <c r="H85" s="3">
        <f>E85*F85*G85</f>
        <v/>
      </c>
    </row>
    <row r="86">
      <c r="A86" s="2" t="inlineStr">
        <is>
          <t>头盔</t>
        </is>
      </c>
      <c r="B86" s="3">
        <f>INDEX('03_主属性基础'!$B$2:$B$9,MATCH(A86,'03_主属性基础'!$A$2:$A$9,0))</f>
        <v/>
      </c>
      <c r="C86" s="2" t="inlineStr">
        <is>
          <t>紫</t>
        </is>
      </c>
      <c r="D86" s="2" t="n">
        <v>5</v>
      </c>
      <c r="E86" s="3">
        <f>INDEX('03_主属性基础'!$F$2:$F$9,MATCH(B86,'03_主属性基础'!$E$2:$E$9,0))</f>
        <v/>
      </c>
      <c r="F86" s="3">
        <f>INDEX('02_品质等级'!$C$2:$C$6,MATCH(C86,'02_品质等级'!$A$2:$A$6,0))</f>
        <v/>
      </c>
      <c r="G86" s="3">
        <f>INDEX('03_主属性基础'!$J$2:$J$13,MATCH(D86,'03_主属性基础'!$I$2:$I$13,0))</f>
        <v/>
      </c>
      <c r="H86" s="3">
        <f>E86*F86*G86</f>
        <v/>
      </c>
    </row>
    <row r="87">
      <c r="A87" s="2" t="inlineStr">
        <is>
          <t>头盔</t>
        </is>
      </c>
      <c r="B87" s="3">
        <f>INDEX('03_主属性基础'!$B$2:$B$9,MATCH(A87,'03_主属性基础'!$A$2:$A$9,0))</f>
        <v/>
      </c>
      <c r="C87" s="2" t="inlineStr">
        <is>
          <t>紫</t>
        </is>
      </c>
      <c r="D87" s="2" t="n">
        <v>10</v>
      </c>
      <c r="E87" s="3">
        <f>INDEX('03_主属性基础'!$F$2:$F$9,MATCH(B87,'03_主属性基础'!$E$2:$E$9,0))</f>
        <v/>
      </c>
      <c r="F87" s="3">
        <f>INDEX('02_品质等级'!$C$2:$C$6,MATCH(C87,'02_品质等级'!$A$2:$A$6,0))</f>
        <v/>
      </c>
      <c r="G87" s="3">
        <f>INDEX('03_主属性基础'!$J$2:$J$13,MATCH(D87,'03_主属性基础'!$I$2:$I$13,0))</f>
        <v/>
      </c>
      <c r="H87" s="3">
        <f>E87*F87*G87</f>
        <v/>
      </c>
    </row>
    <row r="88">
      <c r="A88" s="2" t="inlineStr">
        <is>
          <t>头盔</t>
        </is>
      </c>
      <c r="B88" s="3">
        <f>INDEX('03_主属性基础'!$B$2:$B$9,MATCH(A88,'03_主属性基础'!$A$2:$A$9,0))</f>
        <v/>
      </c>
      <c r="C88" s="2" t="inlineStr">
        <is>
          <t>紫</t>
        </is>
      </c>
      <c r="D88" s="2" t="n">
        <v>15</v>
      </c>
      <c r="E88" s="3">
        <f>INDEX('03_主属性基础'!$F$2:$F$9,MATCH(B88,'03_主属性基础'!$E$2:$E$9,0))</f>
        <v/>
      </c>
      <c r="F88" s="3">
        <f>INDEX('02_品质等级'!$C$2:$C$6,MATCH(C88,'02_品质等级'!$A$2:$A$6,0))</f>
        <v/>
      </c>
      <c r="G88" s="3">
        <f>INDEX('03_主属性基础'!$J$2:$J$13,MATCH(D88,'03_主属性基础'!$I$2:$I$13,0))</f>
        <v/>
      </c>
      <c r="H88" s="3">
        <f>E88*F88*G88</f>
        <v/>
      </c>
    </row>
    <row r="89">
      <c r="A89" s="2" t="inlineStr">
        <is>
          <t>头盔</t>
        </is>
      </c>
      <c r="B89" s="3">
        <f>INDEX('03_主属性基础'!$B$2:$B$9,MATCH(A89,'03_主属性基础'!$A$2:$A$9,0))</f>
        <v/>
      </c>
      <c r="C89" s="2" t="inlineStr">
        <is>
          <t>紫</t>
        </is>
      </c>
      <c r="D89" s="2" t="n">
        <v>20</v>
      </c>
      <c r="E89" s="3">
        <f>INDEX('03_主属性基础'!$F$2:$F$9,MATCH(B89,'03_主属性基础'!$E$2:$E$9,0))</f>
        <v/>
      </c>
      <c r="F89" s="3">
        <f>INDEX('02_品质等级'!$C$2:$C$6,MATCH(C89,'02_品质等级'!$A$2:$A$6,0))</f>
        <v/>
      </c>
      <c r="G89" s="3">
        <f>INDEX('03_主属性基础'!$J$2:$J$13,MATCH(D89,'03_主属性基础'!$I$2:$I$13,0))</f>
        <v/>
      </c>
      <c r="H89" s="3">
        <f>E89*F89*G89</f>
        <v/>
      </c>
    </row>
    <row r="90">
      <c r="A90" s="2" t="inlineStr">
        <is>
          <t>头盔</t>
        </is>
      </c>
      <c r="B90" s="3">
        <f>INDEX('03_主属性基础'!$B$2:$B$9,MATCH(A90,'03_主属性基础'!$A$2:$A$9,0))</f>
        <v/>
      </c>
      <c r="C90" s="2" t="inlineStr">
        <is>
          <t>紫</t>
        </is>
      </c>
      <c r="D90" s="2" t="n">
        <v>25</v>
      </c>
      <c r="E90" s="3">
        <f>INDEX('03_主属性基础'!$F$2:$F$9,MATCH(B90,'03_主属性基础'!$E$2:$E$9,0))</f>
        <v/>
      </c>
      <c r="F90" s="3">
        <f>INDEX('02_品质等级'!$C$2:$C$6,MATCH(C90,'02_品质等级'!$A$2:$A$6,0))</f>
        <v/>
      </c>
      <c r="G90" s="3">
        <f>INDEX('03_主属性基础'!$J$2:$J$13,MATCH(D90,'03_主属性基础'!$I$2:$I$13,0))</f>
        <v/>
      </c>
      <c r="H90" s="3">
        <f>E90*F90*G90</f>
        <v/>
      </c>
    </row>
    <row r="91">
      <c r="A91" s="2" t="inlineStr">
        <is>
          <t>头盔</t>
        </is>
      </c>
      <c r="B91" s="3">
        <f>INDEX('03_主属性基础'!$B$2:$B$9,MATCH(A91,'03_主属性基础'!$A$2:$A$9,0))</f>
        <v/>
      </c>
      <c r="C91" s="2" t="inlineStr">
        <is>
          <t>紫</t>
        </is>
      </c>
      <c r="D91" s="2" t="n">
        <v>30</v>
      </c>
      <c r="E91" s="3">
        <f>INDEX('03_主属性基础'!$F$2:$F$9,MATCH(B91,'03_主属性基础'!$E$2:$E$9,0))</f>
        <v/>
      </c>
      <c r="F91" s="3">
        <f>INDEX('02_品质等级'!$C$2:$C$6,MATCH(C91,'02_品质等级'!$A$2:$A$6,0))</f>
        <v/>
      </c>
      <c r="G91" s="3">
        <f>INDEX('03_主属性基础'!$J$2:$J$13,MATCH(D91,'03_主属性基础'!$I$2:$I$13,0))</f>
        <v/>
      </c>
      <c r="H91" s="3">
        <f>E91*F91*G91</f>
        <v/>
      </c>
    </row>
    <row r="92">
      <c r="A92" s="2" t="inlineStr">
        <is>
          <t>头盔</t>
        </is>
      </c>
      <c r="B92" s="3">
        <f>INDEX('03_主属性基础'!$B$2:$B$9,MATCH(A92,'03_主属性基础'!$A$2:$A$9,0))</f>
        <v/>
      </c>
      <c r="C92" s="2" t="inlineStr">
        <is>
          <t>紫</t>
        </is>
      </c>
      <c r="D92" s="2" t="n">
        <v>35</v>
      </c>
      <c r="E92" s="3">
        <f>INDEX('03_主属性基础'!$F$2:$F$9,MATCH(B92,'03_主属性基础'!$E$2:$E$9,0))</f>
        <v/>
      </c>
      <c r="F92" s="3">
        <f>INDEX('02_品质等级'!$C$2:$C$6,MATCH(C92,'02_品质等级'!$A$2:$A$6,0))</f>
        <v/>
      </c>
      <c r="G92" s="3">
        <f>INDEX('03_主属性基础'!$J$2:$J$13,MATCH(D92,'03_主属性基础'!$I$2:$I$13,0))</f>
        <v/>
      </c>
      <c r="H92" s="3">
        <f>E92*F92*G92</f>
        <v/>
      </c>
    </row>
    <row r="93">
      <c r="A93" s="2" t="inlineStr">
        <is>
          <t>头盔</t>
        </is>
      </c>
      <c r="B93" s="3">
        <f>INDEX('03_主属性基础'!$B$2:$B$9,MATCH(A93,'03_主属性基础'!$A$2:$A$9,0))</f>
        <v/>
      </c>
      <c r="C93" s="2" t="inlineStr">
        <is>
          <t>紫</t>
        </is>
      </c>
      <c r="D93" s="2" t="n">
        <v>40</v>
      </c>
      <c r="E93" s="3">
        <f>INDEX('03_主属性基础'!$F$2:$F$9,MATCH(B93,'03_主属性基础'!$E$2:$E$9,0))</f>
        <v/>
      </c>
      <c r="F93" s="3">
        <f>INDEX('02_品质等级'!$C$2:$C$6,MATCH(C93,'02_品质等级'!$A$2:$A$6,0))</f>
        <v/>
      </c>
      <c r="G93" s="3">
        <f>INDEX('03_主属性基础'!$J$2:$J$13,MATCH(D93,'03_主属性基础'!$I$2:$I$13,0))</f>
        <v/>
      </c>
      <c r="H93" s="3">
        <f>E93*F93*G93</f>
        <v/>
      </c>
    </row>
    <row r="94">
      <c r="A94" s="2" t="inlineStr">
        <is>
          <t>头盔</t>
        </is>
      </c>
      <c r="B94" s="3">
        <f>INDEX('03_主属性基础'!$B$2:$B$9,MATCH(A94,'03_主属性基础'!$A$2:$A$9,0))</f>
        <v/>
      </c>
      <c r="C94" s="2" t="inlineStr">
        <is>
          <t>紫</t>
        </is>
      </c>
      <c r="D94" s="2" t="n">
        <v>45</v>
      </c>
      <c r="E94" s="3">
        <f>INDEX('03_主属性基础'!$F$2:$F$9,MATCH(B94,'03_主属性基础'!$E$2:$E$9,0))</f>
        <v/>
      </c>
      <c r="F94" s="3">
        <f>INDEX('02_品质等级'!$C$2:$C$6,MATCH(C94,'02_品质等级'!$A$2:$A$6,0))</f>
        <v/>
      </c>
      <c r="G94" s="3">
        <f>INDEX('03_主属性基础'!$J$2:$J$13,MATCH(D94,'03_主属性基础'!$I$2:$I$13,0))</f>
        <v/>
      </c>
      <c r="H94" s="3">
        <f>E94*F94*G94</f>
        <v/>
      </c>
    </row>
    <row r="95">
      <c r="A95" s="2" t="inlineStr">
        <is>
          <t>头盔</t>
        </is>
      </c>
      <c r="B95" s="3">
        <f>INDEX('03_主属性基础'!$B$2:$B$9,MATCH(A95,'03_主属性基础'!$A$2:$A$9,0))</f>
        <v/>
      </c>
      <c r="C95" s="2" t="inlineStr">
        <is>
          <t>紫</t>
        </is>
      </c>
      <c r="D95" s="2" t="n">
        <v>50</v>
      </c>
      <c r="E95" s="3">
        <f>INDEX('03_主属性基础'!$F$2:$F$9,MATCH(B95,'03_主属性基础'!$E$2:$E$9,0))</f>
        <v/>
      </c>
      <c r="F95" s="3">
        <f>INDEX('02_品质等级'!$C$2:$C$6,MATCH(C95,'02_品质等级'!$A$2:$A$6,0))</f>
        <v/>
      </c>
      <c r="G95" s="3">
        <f>INDEX('03_主属性基础'!$J$2:$J$13,MATCH(D95,'03_主属性基础'!$I$2:$I$13,0))</f>
        <v/>
      </c>
      <c r="H95" s="3">
        <f>E95*F95*G95</f>
        <v/>
      </c>
    </row>
    <row r="96">
      <c r="A96" s="2" t="inlineStr">
        <is>
          <t>头盔</t>
        </is>
      </c>
      <c r="B96" s="3">
        <f>INDEX('03_主属性基础'!$B$2:$B$9,MATCH(A96,'03_主属性基础'!$A$2:$A$9,0))</f>
        <v/>
      </c>
      <c r="C96" s="2" t="inlineStr">
        <is>
          <t>紫</t>
        </is>
      </c>
      <c r="D96" s="2" t="n">
        <v>55</v>
      </c>
      <c r="E96" s="3">
        <f>INDEX('03_主属性基础'!$F$2:$F$9,MATCH(B96,'03_主属性基础'!$E$2:$E$9,0))</f>
        <v/>
      </c>
      <c r="F96" s="3">
        <f>INDEX('02_品质等级'!$C$2:$C$6,MATCH(C96,'02_品质等级'!$A$2:$A$6,0))</f>
        <v/>
      </c>
      <c r="G96" s="3">
        <f>INDEX('03_主属性基础'!$J$2:$J$13,MATCH(D96,'03_主属性基础'!$I$2:$I$13,0))</f>
        <v/>
      </c>
      <c r="H96" s="3">
        <f>E96*F96*G96</f>
        <v/>
      </c>
    </row>
    <row r="97">
      <c r="A97" s="2" t="inlineStr">
        <is>
          <t>头盔</t>
        </is>
      </c>
      <c r="B97" s="3">
        <f>INDEX('03_主属性基础'!$B$2:$B$9,MATCH(A97,'03_主属性基础'!$A$2:$A$9,0))</f>
        <v/>
      </c>
      <c r="C97" s="2" t="inlineStr">
        <is>
          <t>紫</t>
        </is>
      </c>
      <c r="D97" s="2" t="n">
        <v>60</v>
      </c>
      <c r="E97" s="3">
        <f>INDEX('03_主属性基础'!$F$2:$F$9,MATCH(B97,'03_主属性基础'!$E$2:$E$9,0))</f>
        <v/>
      </c>
      <c r="F97" s="3">
        <f>INDEX('02_品质等级'!$C$2:$C$6,MATCH(C97,'02_品质等级'!$A$2:$A$6,0))</f>
        <v/>
      </c>
      <c r="G97" s="3">
        <f>INDEX('03_主属性基础'!$J$2:$J$13,MATCH(D97,'03_主属性基础'!$I$2:$I$13,0))</f>
        <v/>
      </c>
      <c r="H97" s="3">
        <f>E97*F97*G97</f>
        <v/>
      </c>
    </row>
    <row r="98">
      <c r="A98" s="2" t="inlineStr">
        <is>
          <t>头盔</t>
        </is>
      </c>
      <c r="B98" s="3">
        <f>INDEX('03_主属性基础'!$B$2:$B$9,MATCH(A98,'03_主属性基础'!$A$2:$A$9,0))</f>
        <v/>
      </c>
      <c r="C98" s="2" t="inlineStr">
        <is>
          <t>金</t>
        </is>
      </c>
      <c r="D98" s="2" t="n">
        <v>5</v>
      </c>
      <c r="E98" s="3">
        <f>INDEX('03_主属性基础'!$F$2:$F$9,MATCH(B98,'03_主属性基础'!$E$2:$E$9,0))</f>
        <v/>
      </c>
      <c r="F98" s="3">
        <f>INDEX('02_品质等级'!$C$2:$C$6,MATCH(C98,'02_品质等级'!$A$2:$A$6,0))</f>
        <v/>
      </c>
      <c r="G98" s="3">
        <f>INDEX('03_主属性基础'!$J$2:$J$13,MATCH(D98,'03_主属性基础'!$I$2:$I$13,0))</f>
        <v/>
      </c>
      <c r="H98" s="3">
        <f>E98*F98*G98</f>
        <v/>
      </c>
    </row>
    <row r="99">
      <c r="A99" s="2" t="inlineStr">
        <is>
          <t>头盔</t>
        </is>
      </c>
      <c r="B99" s="3">
        <f>INDEX('03_主属性基础'!$B$2:$B$9,MATCH(A99,'03_主属性基础'!$A$2:$A$9,0))</f>
        <v/>
      </c>
      <c r="C99" s="2" t="inlineStr">
        <is>
          <t>金</t>
        </is>
      </c>
      <c r="D99" s="2" t="n">
        <v>10</v>
      </c>
      <c r="E99" s="3">
        <f>INDEX('03_主属性基础'!$F$2:$F$9,MATCH(B99,'03_主属性基础'!$E$2:$E$9,0))</f>
        <v/>
      </c>
      <c r="F99" s="3">
        <f>INDEX('02_品质等级'!$C$2:$C$6,MATCH(C99,'02_品质等级'!$A$2:$A$6,0))</f>
        <v/>
      </c>
      <c r="G99" s="3">
        <f>INDEX('03_主属性基础'!$J$2:$J$13,MATCH(D99,'03_主属性基础'!$I$2:$I$13,0))</f>
        <v/>
      </c>
      <c r="H99" s="3">
        <f>E99*F99*G99</f>
        <v/>
      </c>
    </row>
    <row r="100">
      <c r="A100" s="2" t="inlineStr">
        <is>
          <t>头盔</t>
        </is>
      </c>
      <c r="B100" s="3">
        <f>INDEX('03_主属性基础'!$B$2:$B$9,MATCH(A100,'03_主属性基础'!$A$2:$A$9,0))</f>
        <v/>
      </c>
      <c r="C100" s="2" t="inlineStr">
        <is>
          <t>金</t>
        </is>
      </c>
      <c r="D100" s="2" t="n">
        <v>15</v>
      </c>
      <c r="E100" s="3">
        <f>INDEX('03_主属性基础'!$F$2:$F$9,MATCH(B100,'03_主属性基础'!$E$2:$E$9,0))</f>
        <v/>
      </c>
      <c r="F100" s="3">
        <f>INDEX('02_品质等级'!$C$2:$C$6,MATCH(C100,'02_品质等级'!$A$2:$A$6,0))</f>
        <v/>
      </c>
      <c r="G100" s="3">
        <f>INDEX('03_主属性基础'!$J$2:$J$13,MATCH(D100,'03_主属性基础'!$I$2:$I$13,0))</f>
        <v/>
      </c>
      <c r="H100" s="3">
        <f>E100*F100*G100</f>
        <v/>
      </c>
    </row>
    <row r="101">
      <c r="A101" s="2" t="inlineStr">
        <is>
          <t>头盔</t>
        </is>
      </c>
      <c r="B101" s="3">
        <f>INDEX('03_主属性基础'!$B$2:$B$9,MATCH(A101,'03_主属性基础'!$A$2:$A$9,0))</f>
        <v/>
      </c>
      <c r="C101" s="2" t="inlineStr">
        <is>
          <t>金</t>
        </is>
      </c>
      <c r="D101" s="2" t="n">
        <v>20</v>
      </c>
      <c r="E101" s="3">
        <f>INDEX('03_主属性基础'!$F$2:$F$9,MATCH(B101,'03_主属性基础'!$E$2:$E$9,0))</f>
        <v/>
      </c>
      <c r="F101" s="3">
        <f>INDEX('02_品质等级'!$C$2:$C$6,MATCH(C101,'02_品质等级'!$A$2:$A$6,0))</f>
        <v/>
      </c>
      <c r="G101" s="3">
        <f>INDEX('03_主属性基础'!$J$2:$J$13,MATCH(D101,'03_主属性基础'!$I$2:$I$13,0))</f>
        <v/>
      </c>
      <c r="H101" s="3">
        <f>E101*F101*G101</f>
        <v/>
      </c>
    </row>
    <row r="102">
      <c r="A102" s="2" t="inlineStr">
        <is>
          <t>头盔</t>
        </is>
      </c>
      <c r="B102" s="3">
        <f>INDEX('03_主属性基础'!$B$2:$B$9,MATCH(A102,'03_主属性基础'!$A$2:$A$9,0))</f>
        <v/>
      </c>
      <c r="C102" s="2" t="inlineStr">
        <is>
          <t>金</t>
        </is>
      </c>
      <c r="D102" s="2" t="n">
        <v>25</v>
      </c>
      <c r="E102" s="3">
        <f>INDEX('03_主属性基础'!$F$2:$F$9,MATCH(B102,'03_主属性基础'!$E$2:$E$9,0))</f>
        <v/>
      </c>
      <c r="F102" s="3">
        <f>INDEX('02_品质等级'!$C$2:$C$6,MATCH(C102,'02_品质等级'!$A$2:$A$6,0))</f>
        <v/>
      </c>
      <c r="G102" s="3">
        <f>INDEX('03_主属性基础'!$J$2:$J$13,MATCH(D102,'03_主属性基础'!$I$2:$I$13,0))</f>
        <v/>
      </c>
      <c r="H102" s="3">
        <f>E102*F102*G102</f>
        <v/>
      </c>
    </row>
    <row r="103">
      <c r="A103" s="2" t="inlineStr">
        <is>
          <t>头盔</t>
        </is>
      </c>
      <c r="B103" s="3">
        <f>INDEX('03_主属性基础'!$B$2:$B$9,MATCH(A103,'03_主属性基础'!$A$2:$A$9,0))</f>
        <v/>
      </c>
      <c r="C103" s="2" t="inlineStr">
        <is>
          <t>金</t>
        </is>
      </c>
      <c r="D103" s="2" t="n">
        <v>30</v>
      </c>
      <c r="E103" s="3">
        <f>INDEX('03_主属性基础'!$F$2:$F$9,MATCH(B103,'03_主属性基础'!$E$2:$E$9,0))</f>
        <v/>
      </c>
      <c r="F103" s="3">
        <f>INDEX('02_品质等级'!$C$2:$C$6,MATCH(C103,'02_品质等级'!$A$2:$A$6,0))</f>
        <v/>
      </c>
      <c r="G103" s="3">
        <f>INDEX('03_主属性基础'!$J$2:$J$13,MATCH(D103,'03_主属性基础'!$I$2:$I$13,0))</f>
        <v/>
      </c>
      <c r="H103" s="3">
        <f>E103*F103*G103</f>
        <v/>
      </c>
    </row>
    <row r="104">
      <c r="A104" s="2" t="inlineStr">
        <is>
          <t>头盔</t>
        </is>
      </c>
      <c r="B104" s="3">
        <f>INDEX('03_主属性基础'!$B$2:$B$9,MATCH(A104,'03_主属性基础'!$A$2:$A$9,0))</f>
        <v/>
      </c>
      <c r="C104" s="2" t="inlineStr">
        <is>
          <t>金</t>
        </is>
      </c>
      <c r="D104" s="2" t="n">
        <v>35</v>
      </c>
      <c r="E104" s="3">
        <f>INDEX('03_主属性基础'!$F$2:$F$9,MATCH(B104,'03_主属性基础'!$E$2:$E$9,0))</f>
        <v/>
      </c>
      <c r="F104" s="3">
        <f>INDEX('02_品质等级'!$C$2:$C$6,MATCH(C104,'02_品质等级'!$A$2:$A$6,0))</f>
        <v/>
      </c>
      <c r="G104" s="3">
        <f>INDEX('03_主属性基础'!$J$2:$J$13,MATCH(D104,'03_主属性基础'!$I$2:$I$13,0))</f>
        <v/>
      </c>
      <c r="H104" s="3">
        <f>E104*F104*G104</f>
        <v/>
      </c>
    </row>
    <row r="105">
      <c r="A105" s="2" t="inlineStr">
        <is>
          <t>头盔</t>
        </is>
      </c>
      <c r="B105" s="3">
        <f>INDEX('03_主属性基础'!$B$2:$B$9,MATCH(A105,'03_主属性基础'!$A$2:$A$9,0))</f>
        <v/>
      </c>
      <c r="C105" s="2" t="inlineStr">
        <is>
          <t>金</t>
        </is>
      </c>
      <c r="D105" s="2" t="n">
        <v>40</v>
      </c>
      <c r="E105" s="3">
        <f>INDEX('03_主属性基础'!$F$2:$F$9,MATCH(B105,'03_主属性基础'!$E$2:$E$9,0))</f>
        <v/>
      </c>
      <c r="F105" s="3">
        <f>INDEX('02_品质等级'!$C$2:$C$6,MATCH(C105,'02_品质等级'!$A$2:$A$6,0))</f>
        <v/>
      </c>
      <c r="G105" s="3">
        <f>INDEX('03_主属性基础'!$J$2:$J$13,MATCH(D105,'03_主属性基础'!$I$2:$I$13,0))</f>
        <v/>
      </c>
      <c r="H105" s="3">
        <f>E105*F105*G105</f>
        <v/>
      </c>
    </row>
    <row r="106">
      <c r="A106" s="2" t="inlineStr">
        <is>
          <t>头盔</t>
        </is>
      </c>
      <c r="B106" s="3">
        <f>INDEX('03_主属性基础'!$B$2:$B$9,MATCH(A106,'03_主属性基础'!$A$2:$A$9,0))</f>
        <v/>
      </c>
      <c r="C106" s="2" t="inlineStr">
        <is>
          <t>金</t>
        </is>
      </c>
      <c r="D106" s="2" t="n">
        <v>45</v>
      </c>
      <c r="E106" s="3">
        <f>INDEX('03_主属性基础'!$F$2:$F$9,MATCH(B106,'03_主属性基础'!$E$2:$E$9,0))</f>
        <v/>
      </c>
      <c r="F106" s="3">
        <f>INDEX('02_品质等级'!$C$2:$C$6,MATCH(C106,'02_品质等级'!$A$2:$A$6,0))</f>
        <v/>
      </c>
      <c r="G106" s="3">
        <f>INDEX('03_主属性基础'!$J$2:$J$13,MATCH(D106,'03_主属性基础'!$I$2:$I$13,0))</f>
        <v/>
      </c>
      <c r="H106" s="3">
        <f>E106*F106*G106</f>
        <v/>
      </c>
    </row>
    <row r="107">
      <c r="A107" s="2" t="inlineStr">
        <is>
          <t>头盔</t>
        </is>
      </c>
      <c r="B107" s="3">
        <f>INDEX('03_主属性基础'!$B$2:$B$9,MATCH(A107,'03_主属性基础'!$A$2:$A$9,0))</f>
        <v/>
      </c>
      <c r="C107" s="2" t="inlineStr">
        <is>
          <t>金</t>
        </is>
      </c>
      <c r="D107" s="2" t="n">
        <v>50</v>
      </c>
      <c r="E107" s="3">
        <f>INDEX('03_主属性基础'!$F$2:$F$9,MATCH(B107,'03_主属性基础'!$E$2:$E$9,0))</f>
        <v/>
      </c>
      <c r="F107" s="3">
        <f>INDEX('02_品质等级'!$C$2:$C$6,MATCH(C107,'02_品质等级'!$A$2:$A$6,0))</f>
        <v/>
      </c>
      <c r="G107" s="3">
        <f>INDEX('03_主属性基础'!$J$2:$J$13,MATCH(D107,'03_主属性基础'!$I$2:$I$13,0))</f>
        <v/>
      </c>
      <c r="H107" s="3">
        <f>E107*F107*G107</f>
        <v/>
      </c>
    </row>
    <row r="108">
      <c r="A108" s="2" t="inlineStr">
        <is>
          <t>头盔</t>
        </is>
      </c>
      <c r="B108" s="3">
        <f>INDEX('03_主属性基础'!$B$2:$B$9,MATCH(A108,'03_主属性基础'!$A$2:$A$9,0))</f>
        <v/>
      </c>
      <c r="C108" s="2" t="inlineStr">
        <is>
          <t>金</t>
        </is>
      </c>
      <c r="D108" s="2" t="n">
        <v>55</v>
      </c>
      <c r="E108" s="3">
        <f>INDEX('03_主属性基础'!$F$2:$F$9,MATCH(B108,'03_主属性基础'!$E$2:$E$9,0))</f>
        <v/>
      </c>
      <c r="F108" s="3">
        <f>INDEX('02_品质等级'!$C$2:$C$6,MATCH(C108,'02_品质等级'!$A$2:$A$6,0))</f>
        <v/>
      </c>
      <c r="G108" s="3">
        <f>INDEX('03_主属性基础'!$J$2:$J$13,MATCH(D108,'03_主属性基础'!$I$2:$I$13,0))</f>
        <v/>
      </c>
      <c r="H108" s="3">
        <f>E108*F108*G108</f>
        <v/>
      </c>
    </row>
    <row r="109">
      <c r="A109" s="2" t="inlineStr">
        <is>
          <t>头盔</t>
        </is>
      </c>
      <c r="B109" s="3">
        <f>INDEX('03_主属性基础'!$B$2:$B$9,MATCH(A109,'03_主属性基础'!$A$2:$A$9,0))</f>
        <v/>
      </c>
      <c r="C109" s="2" t="inlineStr">
        <is>
          <t>金</t>
        </is>
      </c>
      <c r="D109" s="2" t="n">
        <v>60</v>
      </c>
      <c r="E109" s="3">
        <f>INDEX('03_主属性基础'!$F$2:$F$9,MATCH(B109,'03_主属性基础'!$E$2:$E$9,0))</f>
        <v/>
      </c>
      <c r="F109" s="3">
        <f>INDEX('02_品质等级'!$C$2:$C$6,MATCH(C109,'02_品质等级'!$A$2:$A$6,0))</f>
        <v/>
      </c>
      <c r="G109" s="3">
        <f>INDEX('03_主属性基础'!$J$2:$J$13,MATCH(D109,'03_主属性基础'!$I$2:$I$13,0))</f>
        <v/>
      </c>
      <c r="H109" s="3">
        <f>E109*F109*G109</f>
        <v/>
      </c>
    </row>
    <row r="110">
      <c r="A110" s="2" t="inlineStr">
        <is>
          <t>头盔</t>
        </is>
      </c>
      <c r="B110" s="3">
        <f>INDEX('03_主属性基础'!$B$2:$B$9,MATCH(A110,'03_主属性基础'!$A$2:$A$9,0))</f>
        <v/>
      </c>
      <c r="C110" s="2" t="inlineStr">
        <is>
          <t>红</t>
        </is>
      </c>
      <c r="D110" s="2" t="n">
        <v>5</v>
      </c>
      <c r="E110" s="3">
        <f>INDEX('03_主属性基础'!$F$2:$F$9,MATCH(B110,'03_主属性基础'!$E$2:$E$9,0))</f>
        <v/>
      </c>
      <c r="F110" s="3">
        <f>INDEX('02_品质等级'!$C$2:$C$6,MATCH(C110,'02_品质等级'!$A$2:$A$6,0))</f>
        <v/>
      </c>
      <c r="G110" s="3">
        <f>INDEX('03_主属性基础'!$J$2:$J$13,MATCH(D110,'03_主属性基础'!$I$2:$I$13,0))</f>
        <v/>
      </c>
      <c r="H110" s="3">
        <f>E110*F110*G110</f>
        <v/>
      </c>
    </row>
    <row r="111">
      <c r="A111" s="2" t="inlineStr">
        <is>
          <t>头盔</t>
        </is>
      </c>
      <c r="B111" s="3">
        <f>INDEX('03_主属性基础'!$B$2:$B$9,MATCH(A111,'03_主属性基础'!$A$2:$A$9,0))</f>
        <v/>
      </c>
      <c r="C111" s="2" t="inlineStr">
        <is>
          <t>红</t>
        </is>
      </c>
      <c r="D111" s="2" t="n">
        <v>10</v>
      </c>
      <c r="E111" s="3">
        <f>INDEX('03_主属性基础'!$F$2:$F$9,MATCH(B111,'03_主属性基础'!$E$2:$E$9,0))</f>
        <v/>
      </c>
      <c r="F111" s="3">
        <f>INDEX('02_品质等级'!$C$2:$C$6,MATCH(C111,'02_品质等级'!$A$2:$A$6,0))</f>
        <v/>
      </c>
      <c r="G111" s="3">
        <f>INDEX('03_主属性基础'!$J$2:$J$13,MATCH(D111,'03_主属性基础'!$I$2:$I$13,0))</f>
        <v/>
      </c>
      <c r="H111" s="3">
        <f>E111*F111*G111</f>
        <v/>
      </c>
    </row>
    <row r="112">
      <c r="A112" s="2" t="inlineStr">
        <is>
          <t>头盔</t>
        </is>
      </c>
      <c r="B112" s="3">
        <f>INDEX('03_主属性基础'!$B$2:$B$9,MATCH(A112,'03_主属性基础'!$A$2:$A$9,0))</f>
        <v/>
      </c>
      <c r="C112" s="2" t="inlineStr">
        <is>
          <t>红</t>
        </is>
      </c>
      <c r="D112" s="2" t="n">
        <v>15</v>
      </c>
      <c r="E112" s="3">
        <f>INDEX('03_主属性基础'!$F$2:$F$9,MATCH(B112,'03_主属性基础'!$E$2:$E$9,0))</f>
        <v/>
      </c>
      <c r="F112" s="3">
        <f>INDEX('02_品质等级'!$C$2:$C$6,MATCH(C112,'02_品质等级'!$A$2:$A$6,0))</f>
        <v/>
      </c>
      <c r="G112" s="3">
        <f>INDEX('03_主属性基础'!$J$2:$J$13,MATCH(D112,'03_主属性基础'!$I$2:$I$13,0))</f>
        <v/>
      </c>
      <c r="H112" s="3">
        <f>E112*F112*G112</f>
        <v/>
      </c>
    </row>
    <row r="113">
      <c r="A113" s="2" t="inlineStr">
        <is>
          <t>头盔</t>
        </is>
      </c>
      <c r="B113" s="3">
        <f>INDEX('03_主属性基础'!$B$2:$B$9,MATCH(A113,'03_主属性基础'!$A$2:$A$9,0))</f>
        <v/>
      </c>
      <c r="C113" s="2" t="inlineStr">
        <is>
          <t>红</t>
        </is>
      </c>
      <c r="D113" s="2" t="n">
        <v>20</v>
      </c>
      <c r="E113" s="3">
        <f>INDEX('03_主属性基础'!$F$2:$F$9,MATCH(B113,'03_主属性基础'!$E$2:$E$9,0))</f>
        <v/>
      </c>
      <c r="F113" s="3">
        <f>INDEX('02_品质等级'!$C$2:$C$6,MATCH(C113,'02_品质等级'!$A$2:$A$6,0))</f>
        <v/>
      </c>
      <c r="G113" s="3">
        <f>INDEX('03_主属性基础'!$J$2:$J$13,MATCH(D113,'03_主属性基础'!$I$2:$I$13,0))</f>
        <v/>
      </c>
      <c r="H113" s="3">
        <f>E113*F113*G113</f>
        <v/>
      </c>
    </row>
    <row r="114">
      <c r="A114" s="2" t="inlineStr">
        <is>
          <t>头盔</t>
        </is>
      </c>
      <c r="B114" s="3">
        <f>INDEX('03_主属性基础'!$B$2:$B$9,MATCH(A114,'03_主属性基础'!$A$2:$A$9,0))</f>
        <v/>
      </c>
      <c r="C114" s="2" t="inlineStr">
        <is>
          <t>红</t>
        </is>
      </c>
      <c r="D114" s="2" t="n">
        <v>25</v>
      </c>
      <c r="E114" s="3">
        <f>INDEX('03_主属性基础'!$F$2:$F$9,MATCH(B114,'03_主属性基础'!$E$2:$E$9,0))</f>
        <v/>
      </c>
      <c r="F114" s="3">
        <f>INDEX('02_品质等级'!$C$2:$C$6,MATCH(C114,'02_品质等级'!$A$2:$A$6,0))</f>
        <v/>
      </c>
      <c r="G114" s="3">
        <f>INDEX('03_主属性基础'!$J$2:$J$13,MATCH(D114,'03_主属性基础'!$I$2:$I$13,0))</f>
        <v/>
      </c>
      <c r="H114" s="3">
        <f>E114*F114*G114</f>
        <v/>
      </c>
    </row>
    <row r="115">
      <c r="A115" s="2" t="inlineStr">
        <is>
          <t>头盔</t>
        </is>
      </c>
      <c r="B115" s="3">
        <f>INDEX('03_主属性基础'!$B$2:$B$9,MATCH(A115,'03_主属性基础'!$A$2:$A$9,0))</f>
        <v/>
      </c>
      <c r="C115" s="2" t="inlineStr">
        <is>
          <t>红</t>
        </is>
      </c>
      <c r="D115" s="2" t="n">
        <v>30</v>
      </c>
      <c r="E115" s="3">
        <f>INDEX('03_主属性基础'!$F$2:$F$9,MATCH(B115,'03_主属性基础'!$E$2:$E$9,0))</f>
        <v/>
      </c>
      <c r="F115" s="3">
        <f>INDEX('02_品质等级'!$C$2:$C$6,MATCH(C115,'02_品质等级'!$A$2:$A$6,0))</f>
        <v/>
      </c>
      <c r="G115" s="3">
        <f>INDEX('03_主属性基础'!$J$2:$J$13,MATCH(D115,'03_主属性基础'!$I$2:$I$13,0))</f>
        <v/>
      </c>
      <c r="H115" s="3">
        <f>E115*F115*G115</f>
        <v/>
      </c>
    </row>
    <row r="116">
      <c r="A116" s="2" t="inlineStr">
        <is>
          <t>头盔</t>
        </is>
      </c>
      <c r="B116" s="3">
        <f>INDEX('03_主属性基础'!$B$2:$B$9,MATCH(A116,'03_主属性基础'!$A$2:$A$9,0))</f>
        <v/>
      </c>
      <c r="C116" s="2" t="inlineStr">
        <is>
          <t>红</t>
        </is>
      </c>
      <c r="D116" s="2" t="n">
        <v>35</v>
      </c>
      <c r="E116" s="3">
        <f>INDEX('03_主属性基础'!$F$2:$F$9,MATCH(B116,'03_主属性基础'!$E$2:$E$9,0))</f>
        <v/>
      </c>
      <c r="F116" s="3">
        <f>INDEX('02_品质等级'!$C$2:$C$6,MATCH(C116,'02_品质等级'!$A$2:$A$6,0))</f>
        <v/>
      </c>
      <c r="G116" s="3">
        <f>INDEX('03_主属性基础'!$J$2:$J$13,MATCH(D116,'03_主属性基础'!$I$2:$I$13,0))</f>
        <v/>
      </c>
      <c r="H116" s="3">
        <f>E116*F116*G116</f>
        <v/>
      </c>
    </row>
    <row r="117">
      <c r="A117" s="2" t="inlineStr">
        <is>
          <t>头盔</t>
        </is>
      </c>
      <c r="B117" s="3">
        <f>INDEX('03_主属性基础'!$B$2:$B$9,MATCH(A117,'03_主属性基础'!$A$2:$A$9,0))</f>
        <v/>
      </c>
      <c r="C117" s="2" t="inlineStr">
        <is>
          <t>红</t>
        </is>
      </c>
      <c r="D117" s="2" t="n">
        <v>40</v>
      </c>
      <c r="E117" s="3">
        <f>INDEX('03_主属性基础'!$F$2:$F$9,MATCH(B117,'03_主属性基础'!$E$2:$E$9,0))</f>
        <v/>
      </c>
      <c r="F117" s="3">
        <f>INDEX('02_品质等级'!$C$2:$C$6,MATCH(C117,'02_品质等级'!$A$2:$A$6,0))</f>
        <v/>
      </c>
      <c r="G117" s="3">
        <f>INDEX('03_主属性基础'!$J$2:$J$13,MATCH(D117,'03_主属性基础'!$I$2:$I$13,0))</f>
        <v/>
      </c>
      <c r="H117" s="3">
        <f>E117*F117*G117</f>
        <v/>
      </c>
    </row>
    <row r="118">
      <c r="A118" s="2" t="inlineStr">
        <is>
          <t>头盔</t>
        </is>
      </c>
      <c r="B118" s="3">
        <f>INDEX('03_主属性基础'!$B$2:$B$9,MATCH(A118,'03_主属性基础'!$A$2:$A$9,0))</f>
        <v/>
      </c>
      <c r="C118" s="2" t="inlineStr">
        <is>
          <t>红</t>
        </is>
      </c>
      <c r="D118" s="2" t="n">
        <v>45</v>
      </c>
      <c r="E118" s="3">
        <f>INDEX('03_主属性基础'!$F$2:$F$9,MATCH(B118,'03_主属性基础'!$E$2:$E$9,0))</f>
        <v/>
      </c>
      <c r="F118" s="3">
        <f>INDEX('02_品质等级'!$C$2:$C$6,MATCH(C118,'02_品质等级'!$A$2:$A$6,0))</f>
        <v/>
      </c>
      <c r="G118" s="3">
        <f>INDEX('03_主属性基础'!$J$2:$J$13,MATCH(D118,'03_主属性基础'!$I$2:$I$13,0))</f>
        <v/>
      </c>
      <c r="H118" s="3">
        <f>E118*F118*G118</f>
        <v/>
      </c>
    </row>
    <row r="119">
      <c r="A119" s="2" t="inlineStr">
        <is>
          <t>头盔</t>
        </is>
      </c>
      <c r="B119" s="3">
        <f>INDEX('03_主属性基础'!$B$2:$B$9,MATCH(A119,'03_主属性基础'!$A$2:$A$9,0))</f>
        <v/>
      </c>
      <c r="C119" s="2" t="inlineStr">
        <is>
          <t>红</t>
        </is>
      </c>
      <c r="D119" s="2" t="n">
        <v>50</v>
      </c>
      <c r="E119" s="3">
        <f>INDEX('03_主属性基础'!$F$2:$F$9,MATCH(B119,'03_主属性基础'!$E$2:$E$9,0))</f>
        <v/>
      </c>
      <c r="F119" s="3">
        <f>INDEX('02_品质等级'!$C$2:$C$6,MATCH(C119,'02_品质等级'!$A$2:$A$6,0))</f>
        <v/>
      </c>
      <c r="G119" s="3">
        <f>INDEX('03_主属性基础'!$J$2:$J$13,MATCH(D119,'03_主属性基础'!$I$2:$I$13,0))</f>
        <v/>
      </c>
      <c r="H119" s="3">
        <f>E119*F119*G119</f>
        <v/>
      </c>
    </row>
    <row r="120">
      <c r="A120" s="2" t="inlineStr">
        <is>
          <t>头盔</t>
        </is>
      </c>
      <c r="B120" s="3">
        <f>INDEX('03_主属性基础'!$B$2:$B$9,MATCH(A120,'03_主属性基础'!$A$2:$A$9,0))</f>
        <v/>
      </c>
      <c r="C120" s="2" t="inlineStr">
        <is>
          <t>红</t>
        </is>
      </c>
      <c r="D120" s="2" t="n">
        <v>55</v>
      </c>
      <c r="E120" s="3">
        <f>INDEX('03_主属性基础'!$F$2:$F$9,MATCH(B120,'03_主属性基础'!$E$2:$E$9,0))</f>
        <v/>
      </c>
      <c r="F120" s="3">
        <f>INDEX('02_品质等级'!$C$2:$C$6,MATCH(C120,'02_品质等级'!$A$2:$A$6,0))</f>
        <v/>
      </c>
      <c r="G120" s="3">
        <f>INDEX('03_主属性基础'!$J$2:$J$13,MATCH(D120,'03_主属性基础'!$I$2:$I$13,0))</f>
        <v/>
      </c>
      <c r="H120" s="3">
        <f>E120*F120*G120</f>
        <v/>
      </c>
    </row>
    <row r="121">
      <c r="A121" s="2" t="inlineStr">
        <is>
          <t>头盔</t>
        </is>
      </c>
      <c r="B121" s="3">
        <f>INDEX('03_主属性基础'!$B$2:$B$9,MATCH(A121,'03_主属性基础'!$A$2:$A$9,0))</f>
        <v/>
      </c>
      <c r="C121" s="2" t="inlineStr">
        <is>
          <t>红</t>
        </is>
      </c>
      <c r="D121" s="2" t="n">
        <v>60</v>
      </c>
      <c r="E121" s="3">
        <f>INDEX('03_主属性基础'!$F$2:$F$9,MATCH(B121,'03_主属性基础'!$E$2:$E$9,0))</f>
        <v/>
      </c>
      <c r="F121" s="3">
        <f>INDEX('02_品质等级'!$C$2:$C$6,MATCH(C121,'02_品质等级'!$A$2:$A$6,0))</f>
        <v/>
      </c>
      <c r="G121" s="3">
        <f>INDEX('03_主属性基础'!$J$2:$J$13,MATCH(D121,'03_主属性基础'!$I$2:$I$13,0))</f>
        <v/>
      </c>
      <c r="H121" s="3">
        <f>E121*F121*G121</f>
        <v/>
      </c>
    </row>
    <row r="122">
      <c r="A122" s="2" t="inlineStr">
        <is>
          <t>护甲（衣服）</t>
        </is>
      </c>
      <c r="B122" s="3">
        <f>INDEX('03_主属性基础'!$B$2:$B$9,MATCH(A122,'03_主属性基础'!$A$2:$A$9,0))</f>
        <v/>
      </c>
      <c r="C122" s="2" t="inlineStr">
        <is>
          <t>绿</t>
        </is>
      </c>
      <c r="D122" s="2" t="n">
        <v>5</v>
      </c>
      <c r="E122" s="3">
        <f>INDEX('03_主属性基础'!$F$2:$F$9,MATCH(B122,'03_主属性基础'!$E$2:$E$9,0))</f>
        <v/>
      </c>
      <c r="F122" s="3">
        <f>INDEX('02_品质等级'!$C$2:$C$6,MATCH(C122,'02_品质等级'!$A$2:$A$6,0))</f>
        <v/>
      </c>
      <c r="G122" s="3">
        <f>INDEX('03_主属性基础'!$J$2:$J$13,MATCH(D122,'03_主属性基础'!$I$2:$I$13,0))</f>
        <v/>
      </c>
      <c r="H122" s="3">
        <f>E122*F122*G122</f>
        <v/>
      </c>
    </row>
    <row r="123">
      <c r="A123" s="2" t="inlineStr">
        <is>
          <t>护甲（衣服）</t>
        </is>
      </c>
      <c r="B123" s="3">
        <f>INDEX('03_主属性基础'!$B$2:$B$9,MATCH(A123,'03_主属性基础'!$A$2:$A$9,0))</f>
        <v/>
      </c>
      <c r="C123" s="2" t="inlineStr">
        <is>
          <t>绿</t>
        </is>
      </c>
      <c r="D123" s="2" t="n">
        <v>10</v>
      </c>
      <c r="E123" s="3">
        <f>INDEX('03_主属性基础'!$F$2:$F$9,MATCH(B123,'03_主属性基础'!$E$2:$E$9,0))</f>
        <v/>
      </c>
      <c r="F123" s="3">
        <f>INDEX('02_品质等级'!$C$2:$C$6,MATCH(C123,'02_品质等级'!$A$2:$A$6,0))</f>
        <v/>
      </c>
      <c r="G123" s="3">
        <f>INDEX('03_主属性基础'!$J$2:$J$13,MATCH(D123,'03_主属性基础'!$I$2:$I$13,0))</f>
        <v/>
      </c>
      <c r="H123" s="3">
        <f>E123*F123*G123</f>
        <v/>
      </c>
    </row>
    <row r="124">
      <c r="A124" s="2" t="inlineStr">
        <is>
          <t>护甲（衣服）</t>
        </is>
      </c>
      <c r="B124" s="3">
        <f>INDEX('03_主属性基础'!$B$2:$B$9,MATCH(A124,'03_主属性基础'!$A$2:$A$9,0))</f>
        <v/>
      </c>
      <c r="C124" s="2" t="inlineStr">
        <is>
          <t>绿</t>
        </is>
      </c>
      <c r="D124" s="2" t="n">
        <v>15</v>
      </c>
      <c r="E124" s="3">
        <f>INDEX('03_主属性基础'!$F$2:$F$9,MATCH(B124,'03_主属性基础'!$E$2:$E$9,0))</f>
        <v/>
      </c>
      <c r="F124" s="3">
        <f>INDEX('02_品质等级'!$C$2:$C$6,MATCH(C124,'02_品质等级'!$A$2:$A$6,0))</f>
        <v/>
      </c>
      <c r="G124" s="3">
        <f>INDEX('03_主属性基础'!$J$2:$J$13,MATCH(D124,'03_主属性基础'!$I$2:$I$13,0))</f>
        <v/>
      </c>
      <c r="H124" s="3">
        <f>E124*F124*G124</f>
        <v/>
      </c>
    </row>
    <row r="125">
      <c r="A125" s="2" t="inlineStr">
        <is>
          <t>护甲（衣服）</t>
        </is>
      </c>
      <c r="B125" s="3">
        <f>INDEX('03_主属性基础'!$B$2:$B$9,MATCH(A125,'03_主属性基础'!$A$2:$A$9,0))</f>
        <v/>
      </c>
      <c r="C125" s="2" t="inlineStr">
        <is>
          <t>绿</t>
        </is>
      </c>
      <c r="D125" s="2" t="n">
        <v>20</v>
      </c>
      <c r="E125" s="3">
        <f>INDEX('03_主属性基础'!$F$2:$F$9,MATCH(B125,'03_主属性基础'!$E$2:$E$9,0))</f>
        <v/>
      </c>
      <c r="F125" s="3">
        <f>INDEX('02_品质等级'!$C$2:$C$6,MATCH(C125,'02_品质等级'!$A$2:$A$6,0))</f>
        <v/>
      </c>
      <c r="G125" s="3">
        <f>INDEX('03_主属性基础'!$J$2:$J$13,MATCH(D125,'03_主属性基础'!$I$2:$I$13,0))</f>
        <v/>
      </c>
      <c r="H125" s="3">
        <f>E125*F125*G125</f>
        <v/>
      </c>
    </row>
    <row r="126">
      <c r="A126" s="2" t="inlineStr">
        <is>
          <t>护甲（衣服）</t>
        </is>
      </c>
      <c r="B126" s="3">
        <f>INDEX('03_主属性基础'!$B$2:$B$9,MATCH(A126,'03_主属性基础'!$A$2:$A$9,0))</f>
        <v/>
      </c>
      <c r="C126" s="2" t="inlineStr">
        <is>
          <t>绿</t>
        </is>
      </c>
      <c r="D126" s="2" t="n">
        <v>25</v>
      </c>
      <c r="E126" s="3">
        <f>INDEX('03_主属性基础'!$F$2:$F$9,MATCH(B126,'03_主属性基础'!$E$2:$E$9,0))</f>
        <v/>
      </c>
      <c r="F126" s="3">
        <f>INDEX('02_品质等级'!$C$2:$C$6,MATCH(C126,'02_品质等级'!$A$2:$A$6,0))</f>
        <v/>
      </c>
      <c r="G126" s="3">
        <f>INDEX('03_主属性基础'!$J$2:$J$13,MATCH(D126,'03_主属性基础'!$I$2:$I$13,0))</f>
        <v/>
      </c>
      <c r="H126" s="3">
        <f>E126*F126*G126</f>
        <v/>
      </c>
    </row>
    <row r="127">
      <c r="A127" s="2" t="inlineStr">
        <is>
          <t>护甲（衣服）</t>
        </is>
      </c>
      <c r="B127" s="3">
        <f>INDEX('03_主属性基础'!$B$2:$B$9,MATCH(A127,'03_主属性基础'!$A$2:$A$9,0))</f>
        <v/>
      </c>
      <c r="C127" s="2" t="inlineStr">
        <is>
          <t>绿</t>
        </is>
      </c>
      <c r="D127" s="2" t="n">
        <v>30</v>
      </c>
      <c r="E127" s="3">
        <f>INDEX('03_主属性基础'!$F$2:$F$9,MATCH(B127,'03_主属性基础'!$E$2:$E$9,0))</f>
        <v/>
      </c>
      <c r="F127" s="3">
        <f>INDEX('02_品质等级'!$C$2:$C$6,MATCH(C127,'02_品质等级'!$A$2:$A$6,0))</f>
        <v/>
      </c>
      <c r="G127" s="3">
        <f>INDEX('03_主属性基础'!$J$2:$J$13,MATCH(D127,'03_主属性基础'!$I$2:$I$13,0))</f>
        <v/>
      </c>
      <c r="H127" s="3">
        <f>E127*F127*G127</f>
        <v/>
      </c>
    </row>
    <row r="128">
      <c r="A128" s="2" t="inlineStr">
        <is>
          <t>护甲（衣服）</t>
        </is>
      </c>
      <c r="B128" s="3">
        <f>INDEX('03_主属性基础'!$B$2:$B$9,MATCH(A128,'03_主属性基础'!$A$2:$A$9,0))</f>
        <v/>
      </c>
      <c r="C128" s="2" t="inlineStr">
        <is>
          <t>绿</t>
        </is>
      </c>
      <c r="D128" s="2" t="n">
        <v>35</v>
      </c>
      <c r="E128" s="3">
        <f>INDEX('03_主属性基础'!$F$2:$F$9,MATCH(B128,'03_主属性基础'!$E$2:$E$9,0))</f>
        <v/>
      </c>
      <c r="F128" s="3">
        <f>INDEX('02_品质等级'!$C$2:$C$6,MATCH(C128,'02_品质等级'!$A$2:$A$6,0))</f>
        <v/>
      </c>
      <c r="G128" s="3">
        <f>INDEX('03_主属性基础'!$J$2:$J$13,MATCH(D128,'03_主属性基础'!$I$2:$I$13,0))</f>
        <v/>
      </c>
      <c r="H128" s="3">
        <f>E128*F128*G128</f>
        <v/>
      </c>
    </row>
    <row r="129">
      <c r="A129" s="2" t="inlineStr">
        <is>
          <t>护甲（衣服）</t>
        </is>
      </c>
      <c r="B129" s="3">
        <f>INDEX('03_主属性基础'!$B$2:$B$9,MATCH(A129,'03_主属性基础'!$A$2:$A$9,0))</f>
        <v/>
      </c>
      <c r="C129" s="2" t="inlineStr">
        <is>
          <t>绿</t>
        </is>
      </c>
      <c r="D129" s="2" t="n">
        <v>40</v>
      </c>
      <c r="E129" s="3">
        <f>INDEX('03_主属性基础'!$F$2:$F$9,MATCH(B129,'03_主属性基础'!$E$2:$E$9,0))</f>
        <v/>
      </c>
      <c r="F129" s="3">
        <f>INDEX('02_品质等级'!$C$2:$C$6,MATCH(C129,'02_品质等级'!$A$2:$A$6,0))</f>
        <v/>
      </c>
      <c r="G129" s="3">
        <f>INDEX('03_主属性基础'!$J$2:$J$13,MATCH(D129,'03_主属性基础'!$I$2:$I$13,0))</f>
        <v/>
      </c>
      <c r="H129" s="3">
        <f>E129*F129*G129</f>
        <v/>
      </c>
    </row>
    <row r="130">
      <c r="A130" s="2" t="inlineStr">
        <is>
          <t>护甲（衣服）</t>
        </is>
      </c>
      <c r="B130" s="3">
        <f>INDEX('03_主属性基础'!$B$2:$B$9,MATCH(A130,'03_主属性基础'!$A$2:$A$9,0))</f>
        <v/>
      </c>
      <c r="C130" s="2" t="inlineStr">
        <is>
          <t>绿</t>
        </is>
      </c>
      <c r="D130" s="2" t="n">
        <v>45</v>
      </c>
      <c r="E130" s="3">
        <f>INDEX('03_主属性基础'!$F$2:$F$9,MATCH(B130,'03_主属性基础'!$E$2:$E$9,0))</f>
        <v/>
      </c>
      <c r="F130" s="3">
        <f>INDEX('02_品质等级'!$C$2:$C$6,MATCH(C130,'02_品质等级'!$A$2:$A$6,0))</f>
        <v/>
      </c>
      <c r="G130" s="3">
        <f>INDEX('03_主属性基础'!$J$2:$J$13,MATCH(D130,'03_主属性基础'!$I$2:$I$13,0))</f>
        <v/>
      </c>
      <c r="H130" s="3">
        <f>E130*F130*G130</f>
        <v/>
      </c>
    </row>
    <row r="131">
      <c r="A131" s="2" t="inlineStr">
        <is>
          <t>护甲（衣服）</t>
        </is>
      </c>
      <c r="B131" s="3">
        <f>INDEX('03_主属性基础'!$B$2:$B$9,MATCH(A131,'03_主属性基础'!$A$2:$A$9,0))</f>
        <v/>
      </c>
      <c r="C131" s="2" t="inlineStr">
        <is>
          <t>绿</t>
        </is>
      </c>
      <c r="D131" s="2" t="n">
        <v>50</v>
      </c>
      <c r="E131" s="3">
        <f>INDEX('03_主属性基础'!$F$2:$F$9,MATCH(B131,'03_主属性基础'!$E$2:$E$9,0))</f>
        <v/>
      </c>
      <c r="F131" s="3">
        <f>INDEX('02_品质等级'!$C$2:$C$6,MATCH(C131,'02_品质等级'!$A$2:$A$6,0))</f>
        <v/>
      </c>
      <c r="G131" s="3">
        <f>INDEX('03_主属性基础'!$J$2:$J$13,MATCH(D131,'03_主属性基础'!$I$2:$I$13,0))</f>
        <v/>
      </c>
      <c r="H131" s="3">
        <f>E131*F131*G131</f>
        <v/>
      </c>
    </row>
    <row r="132">
      <c r="A132" s="2" t="inlineStr">
        <is>
          <t>护甲（衣服）</t>
        </is>
      </c>
      <c r="B132" s="3">
        <f>INDEX('03_主属性基础'!$B$2:$B$9,MATCH(A132,'03_主属性基础'!$A$2:$A$9,0))</f>
        <v/>
      </c>
      <c r="C132" s="2" t="inlineStr">
        <is>
          <t>绿</t>
        </is>
      </c>
      <c r="D132" s="2" t="n">
        <v>55</v>
      </c>
      <c r="E132" s="3">
        <f>INDEX('03_主属性基础'!$F$2:$F$9,MATCH(B132,'03_主属性基础'!$E$2:$E$9,0))</f>
        <v/>
      </c>
      <c r="F132" s="3">
        <f>INDEX('02_品质等级'!$C$2:$C$6,MATCH(C132,'02_品质等级'!$A$2:$A$6,0))</f>
        <v/>
      </c>
      <c r="G132" s="3">
        <f>INDEX('03_主属性基础'!$J$2:$J$13,MATCH(D132,'03_主属性基础'!$I$2:$I$13,0))</f>
        <v/>
      </c>
      <c r="H132" s="3">
        <f>E132*F132*G132</f>
        <v/>
      </c>
    </row>
    <row r="133">
      <c r="A133" s="2" t="inlineStr">
        <is>
          <t>护甲（衣服）</t>
        </is>
      </c>
      <c r="B133" s="3">
        <f>INDEX('03_主属性基础'!$B$2:$B$9,MATCH(A133,'03_主属性基础'!$A$2:$A$9,0))</f>
        <v/>
      </c>
      <c r="C133" s="2" t="inlineStr">
        <is>
          <t>绿</t>
        </is>
      </c>
      <c r="D133" s="2" t="n">
        <v>60</v>
      </c>
      <c r="E133" s="3">
        <f>INDEX('03_主属性基础'!$F$2:$F$9,MATCH(B133,'03_主属性基础'!$E$2:$E$9,0))</f>
        <v/>
      </c>
      <c r="F133" s="3">
        <f>INDEX('02_品质等级'!$C$2:$C$6,MATCH(C133,'02_品质等级'!$A$2:$A$6,0))</f>
        <v/>
      </c>
      <c r="G133" s="3">
        <f>INDEX('03_主属性基础'!$J$2:$J$13,MATCH(D133,'03_主属性基础'!$I$2:$I$13,0))</f>
        <v/>
      </c>
      <c r="H133" s="3">
        <f>E133*F133*G133</f>
        <v/>
      </c>
    </row>
    <row r="134">
      <c r="A134" s="2" t="inlineStr">
        <is>
          <t>护甲（衣服）</t>
        </is>
      </c>
      <c r="B134" s="3">
        <f>INDEX('03_主属性基础'!$B$2:$B$9,MATCH(A134,'03_主属性基础'!$A$2:$A$9,0))</f>
        <v/>
      </c>
      <c r="C134" s="2" t="inlineStr">
        <is>
          <t>蓝</t>
        </is>
      </c>
      <c r="D134" s="2" t="n">
        <v>5</v>
      </c>
      <c r="E134" s="3">
        <f>INDEX('03_主属性基础'!$F$2:$F$9,MATCH(B134,'03_主属性基础'!$E$2:$E$9,0))</f>
        <v/>
      </c>
      <c r="F134" s="3">
        <f>INDEX('02_品质等级'!$C$2:$C$6,MATCH(C134,'02_品质等级'!$A$2:$A$6,0))</f>
        <v/>
      </c>
      <c r="G134" s="3">
        <f>INDEX('03_主属性基础'!$J$2:$J$13,MATCH(D134,'03_主属性基础'!$I$2:$I$13,0))</f>
        <v/>
      </c>
      <c r="H134" s="3">
        <f>E134*F134*G134</f>
        <v/>
      </c>
    </row>
    <row r="135">
      <c r="A135" s="2" t="inlineStr">
        <is>
          <t>护甲（衣服）</t>
        </is>
      </c>
      <c r="B135" s="3">
        <f>INDEX('03_主属性基础'!$B$2:$B$9,MATCH(A135,'03_主属性基础'!$A$2:$A$9,0))</f>
        <v/>
      </c>
      <c r="C135" s="2" t="inlineStr">
        <is>
          <t>蓝</t>
        </is>
      </c>
      <c r="D135" s="2" t="n">
        <v>10</v>
      </c>
      <c r="E135" s="3">
        <f>INDEX('03_主属性基础'!$F$2:$F$9,MATCH(B135,'03_主属性基础'!$E$2:$E$9,0))</f>
        <v/>
      </c>
      <c r="F135" s="3">
        <f>INDEX('02_品质等级'!$C$2:$C$6,MATCH(C135,'02_品质等级'!$A$2:$A$6,0))</f>
        <v/>
      </c>
      <c r="G135" s="3">
        <f>INDEX('03_主属性基础'!$J$2:$J$13,MATCH(D135,'03_主属性基础'!$I$2:$I$13,0))</f>
        <v/>
      </c>
      <c r="H135" s="3">
        <f>E135*F135*G135</f>
        <v/>
      </c>
    </row>
    <row r="136">
      <c r="A136" s="2" t="inlineStr">
        <is>
          <t>护甲（衣服）</t>
        </is>
      </c>
      <c r="B136" s="3">
        <f>INDEX('03_主属性基础'!$B$2:$B$9,MATCH(A136,'03_主属性基础'!$A$2:$A$9,0))</f>
        <v/>
      </c>
      <c r="C136" s="2" t="inlineStr">
        <is>
          <t>蓝</t>
        </is>
      </c>
      <c r="D136" s="2" t="n">
        <v>15</v>
      </c>
      <c r="E136" s="3">
        <f>INDEX('03_主属性基础'!$F$2:$F$9,MATCH(B136,'03_主属性基础'!$E$2:$E$9,0))</f>
        <v/>
      </c>
      <c r="F136" s="3">
        <f>INDEX('02_品质等级'!$C$2:$C$6,MATCH(C136,'02_品质等级'!$A$2:$A$6,0))</f>
        <v/>
      </c>
      <c r="G136" s="3">
        <f>INDEX('03_主属性基础'!$J$2:$J$13,MATCH(D136,'03_主属性基础'!$I$2:$I$13,0))</f>
        <v/>
      </c>
      <c r="H136" s="3">
        <f>E136*F136*G136</f>
        <v/>
      </c>
    </row>
    <row r="137">
      <c r="A137" s="2" t="inlineStr">
        <is>
          <t>护甲（衣服）</t>
        </is>
      </c>
      <c r="B137" s="3">
        <f>INDEX('03_主属性基础'!$B$2:$B$9,MATCH(A137,'03_主属性基础'!$A$2:$A$9,0))</f>
        <v/>
      </c>
      <c r="C137" s="2" t="inlineStr">
        <is>
          <t>蓝</t>
        </is>
      </c>
      <c r="D137" s="2" t="n">
        <v>20</v>
      </c>
      <c r="E137" s="3">
        <f>INDEX('03_主属性基础'!$F$2:$F$9,MATCH(B137,'03_主属性基础'!$E$2:$E$9,0))</f>
        <v/>
      </c>
      <c r="F137" s="3">
        <f>INDEX('02_品质等级'!$C$2:$C$6,MATCH(C137,'02_品质等级'!$A$2:$A$6,0))</f>
        <v/>
      </c>
      <c r="G137" s="3">
        <f>INDEX('03_主属性基础'!$J$2:$J$13,MATCH(D137,'03_主属性基础'!$I$2:$I$13,0))</f>
        <v/>
      </c>
      <c r="H137" s="3">
        <f>E137*F137*G137</f>
        <v/>
      </c>
    </row>
    <row r="138">
      <c r="A138" s="2" t="inlineStr">
        <is>
          <t>护甲（衣服）</t>
        </is>
      </c>
      <c r="B138" s="3">
        <f>INDEX('03_主属性基础'!$B$2:$B$9,MATCH(A138,'03_主属性基础'!$A$2:$A$9,0))</f>
        <v/>
      </c>
      <c r="C138" s="2" t="inlineStr">
        <is>
          <t>蓝</t>
        </is>
      </c>
      <c r="D138" s="2" t="n">
        <v>25</v>
      </c>
      <c r="E138" s="3">
        <f>INDEX('03_主属性基础'!$F$2:$F$9,MATCH(B138,'03_主属性基础'!$E$2:$E$9,0))</f>
        <v/>
      </c>
      <c r="F138" s="3">
        <f>INDEX('02_品质等级'!$C$2:$C$6,MATCH(C138,'02_品质等级'!$A$2:$A$6,0))</f>
        <v/>
      </c>
      <c r="G138" s="3">
        <f>INDEX('03_主属性基础'!$J$2:$J$13,MATCH(D138,'03_主属性基础'!$I$2:$I$13,0))</f>
        <v/>
      </c>
      <c r="H138" s="3">
        <f>E138*F138*G138</f>
        <v/>
      </c>
    </row>
    <row r="139">
      <c r="A139" s="2" t="inlineStr">
        <is>
          <t>护甲（衣服）</t>
        </is>
      </c>
      <c r="B139" s="3">
        <f>INDEX('03_主属性基础'!$B$2:$B$9,MATCH(A139,'03_主属性基础'!$A$2:$A$9,0))</f>
        <v/>
      </c>
      <c r="C139" s="2" t="inlineStr">
        <is>
          <t>蓝</t>
        </is>
      </c>
      <c r="D139" s="2" t="n">
        <v>30</v>
      </c>
      <c r="E139" s="3">
        <f>INDEX('03_主属性基础'!$F$2:$F$9,MATCH(B139,'03_主属性基础'!$E$2:$E$9,0))</f>
        <v/>
      </c>
      <c r="F139" s="3">
        <f>INDEX('02_品质等级'!$C$2:$C$6,MATCH(C139,'02_品质等级'!$A$2:$A$6,0))</f>
        <v/>
      </c>
      <c r="G139" s="3">
        <f>INDEX('03_主属性基础'!$J$2:$J$13,MATCH(D139,'03_主属性基础'!$I$2:$I$13,0))</f>
        <v/>
      </c>
      <c r="H139" s="3">
        <f>E139*F139*G139</f>
        <v/>
      </c>
    </row>
    <row r="140">
      <c r="A140" s="2" t="inlineStr">
        <is>
          <t>护甲（衣服）</t>
        </is>
      </c>
      <c r="B140" s="3">
        <f>INDEX('03_主属性基础'!$B$2:$B$9,MATCH(A140,'03_主属性基础'!$A$2:$A$9,0))</f>
        <v/>
      </c>
      <c r="C140" s="2" t="inlineStr">
        <is>
          <t>蓝</t>
        </is>
      </c>
      <c r="D140" s="2" t="n">
        <v>35</v>
      </c>
      <c r="E140" s="3">
        <f>INDEX('03_主属性基础'!$F$2:$F$9,MATCH(B140,'03_主属性基础'!$E$2:$E$9,0))</f>
        <v/>
      </c>
      <c r="F140" s="3">
        <f>INDEX('02_品质等级'!$C$2:$C$6,MATCH(C140,'02_品质等级'!$A$2:$A$6,0))</f>
        <v/>
      </c>
      <c r="G140" s="3">
        <f>INDEX('03_主属性基础'!$J$2:$J$13,MATCH(D140,'03_主属性基础'!$I$2:$I$13,0))</f>
        <v/>
      </c>
      <c r="H140" s="3">
        <f>E140*F140*G140</f>
        <v/>
      </c>
    </row>
    <row r="141">
      <c r="A141" s="2" t="inlineStr">
        <is>
          <t>护甲（衣服）</t>
        </is>
      </c>
      <c r="B141" s="3">
        <f>INDEX('03_主属性基础'!$B$2:$B$9,MATCH(A141,'03_主属性基础'!$A$2:$A$9,0))</f>
        <v/>
      </c>
      <c r="C141" s="2" t="inlineStr">
        <is>
          <t>蓝</t>
        </is>
      </c>
      <c r="D141" s="2" t="n">
        <v>40</v>
      </c>
      <c r="E141" s="3">
        <f>INDEX('03_主属性基础'!$F$2:$F$9,MATCH(B141,'03_主属性基础'!$E$2:$E$9,0))</f>
        <v/>
      </c>
      <c r="F141" s="3">
        <f>INDEX('02_品质等级'!$C$2:$C$6,MATCH(C141,'02_品质等级'!$A$2:$A$6,0))</f>
        <v/>
      </c>
      <c r="G141" s="3">
        <f>INDEX('03_主属性基础'!$J$2:$J$13,MATCH(D141,'03_主属性基础'!$I$2:$I$13,0))</f>
        <v/>
      </c>
      <c r="H141" s="3">
        <f>E141*F141*G141</f>
        <v/>
      </c>
    </row>
    <row r="142">
      <c r="A142" s="2" t="inlineStr">
        <is>
          <t>护甲（衣服）</t>
        </is>
      </c>
      <c r="B142" s="3">
        <f>INDEX('03_主属性基础'!$B$2:$B$9,MATCH(A142,'03_主属性基础'!$A$2:$A$9,0))</f>
        <v/>
      </c>
      <c r="C142" s="2" t="inlineStr">
        <is>
          <t>蓝</t>
        </is>
      </c>
      <c r="D142" s="2" t="n">
        <v>45</v>
      </c>
      <c r="E142" s="3">
        <f>INDEX('03_主属性基础'!$F$2:$F$9,MATCH(B142,'03_主属性基础'!$E$2:$E$9,0))</f>
        <v/>
      </c>
      <c r="F142" s="3">
        <f>INDEX('02_品质等级'!$C$2:$C$6,MATCH(C142,'02_品质等级'!$A$2:$A$6,0))</f>
        <v/>
      </c>
      <c r="G142" s="3">
        <f>INDEX('03_主属性基础'!$J$2:$J$13,MATCH(D142,'03_主属性基础'!$I$2:$I$13,0))</f>
        <v/>
      </c>
      <c r="H142" s="3">
        <f>E142*F142*G142</f>
        <v/>
      </c>
    </row>
    <row r="143">
      <c r="A143" s="2" t="inlineStr">
        <is>
          <t>护甲（衣服）</t>
        </is>
      </c>
      <c r="B143" s="3">
        <f>INDEX('03_主属性基础'!$B$2:$B$9,MATCH(A143,'03_主属性基础'!$A$2:$A$9,0))</f>
        <v/>
      </c>
      <c r="C143" s="2" t="inlineStr">
        <is>
          <t>蓝</t>
        </is>
      </c>
      <c r="D143" s="2" t="n">
        <v>50</v>
      </c>
      <c r="E143" s="3">
        <f>INDEX('03_主属性基础'!$F$2:$F$9,MATCH(B143,'03_主属性基础'!$E$2:$E$9,0))</f>
        <v/>
      </c>
      <c r="F143" s="3">
        <f>INDEX('02_品质等级'!$C$2:$C$6,MATCH(C143,'02_品质等级'!$A$2:$A$6,0))</f>
        <v/>
      </c>
      <c r="G143" s="3">
        <f>INDEX('03_主属性基础'!$J$2:$J$13,MATCH(D143,'03_主属性基础'!$I$2:$I$13,0))</f>
        <v/>
      </c>
      <c r="H143" s="3">
        <f>E143*F143*G143</f>
        <v/>
      </c>
    </row>
    <row r="144">
      <c r="A144" s="2" t="inlineStr">
        <is>
          <t>护甲（衣服）</t>
        </is>
      </c>
      <c r="B144" s="3">
        <f>INDEX('03_主属性基础'!$B$2:$B$9,MATCH(A144,'03_主属性基础'!$A$2:$A$9,0))</f>
        <v/>
      </c>
      <c r="C144" s="2" t="inlineStr">
        <is>
          <t>蓝</t>
        </is>
      </c>
      <c r="D144" s="2" t="n">
        <v>55</v>
      </c>
      <c r="E144" s="3">
        <f>INDEX('03_主属性基础'!$F$2:$F$9,MATCH(B144,'03_主属性基础'!$E$2:$E$9,0))</f>
        <v/>
      </c>
      <c r="F144" s="3">
        <f>INDEX('02_品质等级'!$C$2:$C$6,MATCH(C144,'02_品质等级'!$A$2:$A$6,0))</f>
        <v/>
      </c>
      <c r="G144" s="3">
        <f>INDEX('03_主属性基础'!$J$2:$J$13,MATCH(D144,'03_主属性基础'!$I$2:$I$13,0))</f>
        <v/>
      </c>
      <c r="H144" s="3">
        <f>E144*F144*G144</f>
        <v/>
      </c>
    </row>
    <row r="145">
      <c r="A145" s="2" t="inlineStr">
        <is>
          <t>护甲（衣服）</t>
        </is>
      </c>
      <c r="B145" s="3">
        <f>INDEX('03_主属性基础'!$B$2:$B$9,MATCH(A145,'03_主属性基础'!$A$2:$A$9,0))</f>
        <v/>
      </c>
      <c r="C145" s="2" t="inlineStr">
        <is>
          <t>蓝</t>
        </is>
      </c>
      <c r="D145" s="2" t="n">
        <v>60</v>
      </c>
      <c r="E145" s="3">
        <f>INDEX('03_主属性基础'!$F$2:$F$9,MATCH(B145,'03_主属性基础'!$E$2:$E$9,0))</f>
        <v/>
      </c>
      <c r="F145" s="3">
        <f>INDEX('02_品质等级'!$C$2:$C$6,MATCH(C145,'02_品质等级'!$A$2:$A$6,0))</f>
        <v/>
      </c>
      <c r="G145" s="3">
        <f>INDEX('03_主属性基础'!$J$2:$J$13,MATCH(D145,'03_主属性基础'!$I$2:$I$13,0))</f>
        <v/>
      </c>
      <c r="H145" s="3">
        <f>E145*F145*G145</f>
        <v/>
      </c>
    </row>
    <row r="146">
      <c r="A146" s="2" t="inlineStr">
        <is>
          <t>护甲（衣服）</t>
        </is>
      </c>
      <c r="B146" s="3">
        <f>INDEX('03_主属性基础'!$B$2:$B$9,MATCH(A146,'03_主属性基础'!$A$2:$A$9,0))</f>
        <v/>
      </c>
      <c r="C146" s="2" t="inlineStr">
        <is>
          <t>紫</t>
        </is>
      </c>
      <c r="D146" s="2" t="n">
        <v>5</v>
      </c>
      <c r="E146" s="3">
        <f>INDEX('03_主属性基础'!$F$2:$F$9,MATCH(B146,'03_主属性基础'!$E$2:$E$9,0))</f>
        <v/>
      </c>
      <c r="F146" s="3">
        <f>INDEX('02_品质等级'!$C$2:$C$6,MATCH(C146,'02_品质等级'!$A$2:$A$6,0))</f>
        <v/>
      </c>
      <c r="G146" s="3">
        <f>INDEX('03_主属性基础'!$J$2:$J$13,MATCH(D146,'03_主属性基础'!$I$2:$I$13,0))</f>
        <v/>
      </c>
      <c r="H146" s="3">
        <f>E146*F146*G146</f>
        <v/>
      </c>
    </row>
    <row r="147">
      <c r="A147" s="2" t="inlineStr">
        <is>
          <t>护甲（衣服）</t>
        </is>
      </c>
      <c r="B147" s="3">
        <f>INDEX('03_主属性基础'!$B$2:$B$9,MATCH(A147,'03_主属性基础'!$A$2:$A$9,0))</f>
        <v/>
      </c>
      <c r="C147" s="2" t="inlineStr">
        <is>
          <t>紫</t>
        </is>
      </c>
      <c r="D147" s="2" t="n">
        <v>10</v>
      </c>
      <c r="E147" s="3">
        <f>INDEX('03_主属性基础'!$F$2:$F$9,MATCH(B147,'03_主属性基础'!$E$2:$E$9,0))</f>
        <v/>
      </c>
      <c r="F147" s="3">
        <f>INDEX('02_品质等级'!$C$2:$C$6,MATCH(C147,'02_品质等级'!$A$2:$A$6,0))</f>
        <v/>
      </c>
      <c r="G147" s="3">
        <f>INDEX('03_主属性基础'!$J$2:$J$13,MATCH(D147,'03_主属性基础'!$I$2:$I$13,0))</f>
        <v/>
      </c>
      <c r="H147" s="3">
        <f>E147*F147*G147</f>
        <v/>
      </c>
    </row>
    <row r="148">
      <c r="A148" s="2" t="inlineStr">
        <is>
          <t>护甲（衣服）</t>
        </is>
      </c>
      <c r="B148" s="3">
        <f>INDEX('03_主属性基础'!$B$2:$B$9,MATCH(A148,'03_主属性基础'!$A$2:$A$9,0))</f>
        <v/>
      </c>
      <c r="C148" s="2" t="inlineStr">
        <is>
          <t>紫</t>
        </is>
      </c>
      <c r="D148" s="2" t="n">
        <v>15</v>
      </c>
      <c r="E148" s="3">
        <f>INDEX('03_主属性基础'!$F$2:$F$9,MATCH(B148,'03_主属性基础'!$E$2:$E$9,0))</f>
        <v/>
      </c>
      <c r="F148" s="3">
        <f>INDEX('02_品质等级'!$C$2:$C$6,MATCH(C148,'02_品质等级'!$A$2:$A$6,0))</f>
        <v/>
      </c>
      <c r="G148" s="3">
        <f>INDEX('03_主属性基础'!$J$2:$J$13,MATCH(D148,'03_主属性基础'!$I$2:$I$13,0))</f>
        <v/>
      </c>
      <c r="H148" s="3">
        <f>E148*F148*G148</f>
        <v/>
      </c>
    </row>
    <row r="149">
      <c r="A149" s="2" t="inlineStr">
        <is>
          <t>护甲（衣服）</t>
        </is>
      </c>
      <c r="B149" s="3">
        <f>INDEX('03_主属性基础'!$B$2:$B$9,MATCH(A149,'03_主属性基础'!$A$2:$A$9,0))</f>
        <v/>
      </c>
      <c r="C149" s="2" t="inlineStr">
        <is>
          <t>紫</t>
        </is>
      </c>
      <c r="D149" s="2" t="n">
        <v>20</v>
      </c>
      <c r="E149" s="3">
        <f>INDEX('03_主属性基础'!$F$2:$F$9,MATCH(B149,'03_主属性基础'!$E$2:$E$9,0))</f>
        <v/>
      </c>
      <c r="F149" s="3">
        <f>INDEX('02_品质等级'!$C$2:$C$6,MATCH(C149,'02_品质等级'!$A$2:$A$6,0))</f>
        <v/>
      </c>
      <c r="G149" s="3">
        <f>INDEX('03_主属性基础'!$J$2:$J$13,MATCH(D149,'03_主属性基础'!$I$2:$I$13,0))</f>
        <v/>
      </c>
      <c r="H149" s="3">
        <f>E149*F149*G149</f>
        <v/>
      </c>
    </row>
    <row r="150">
      <c r="A150" s="2" t="inlineStr">
        <is>
          <t>护甲（衣服）</t>
        </is>
      </c>
      <c r="B150" s="3">
        <f>INDEX('03_主属性基础'!$B$2:$B$9,MATCH(A150,'03_主属性基础'!$A$2:$A$9,0))</f>
        <v/>
      </c>
      <c r="C150" s="2" t="inlineStr">
        <is>
          <t>紫</t>
        </is>
      </c>
      <c r="D150" s="2" t="n">
        <v>25</v>
      </c>
      <c r="E150" s="3">
        <f>INDEX('03_主属性基础'!$F$2:$F$9,MATCH(B150,'03_主属性基础'!$E$2:$E$9,0))</f>
        <v/>
      </c>
      <c r="F150" s="3">
        <f>INDEX('02_品质等级'!$C$2:$C$6,MATCH(C150,'02_品质等级'!$A$2:$A$6,0))</f>
        <v/>
      </c>
      <c r="G150" s="3">
        <f>INDEX('03_主属性基础'!$J$2:$J$13,MATCH(D150,'03_主属性基础'!$I$2:$I$13,0))</f>
        <v/>
      </c>
      <c r="H150" s="3">
        <f>E150*F150*G150</f>
        <v/>
      </c>
    </row>
    <row r="151">
      <c r="A151" s="2" t="inlineStr">
        <is>
          <t>护甲（衣服）</t>
        </is>
      </c>
      <c r="B151" s="3">
        <f>INDEX('03_主属性基础'!$B$2:$B$9,MATCH(A151,'03_主属性基础'!$A$2:$A$9,0))</f>
        <v/>
      </c>
      <c r="C151" s="2" t="inlineStr">
        <is>
          <t>紫</t>
        </is>
      </c>
      <c r="D151" s="2" t="n">
        <v>30</v>
      </c>
      <c r="E151" s="3">
        <f>INDEX('03_主属性基础'!$F$2:$F$9,MATCH(B151,'03_主属性基础'!$E$2:$E$9,0))</f>
        <v/>
      </c>
      <c r="F151" s="3">
        <f>INDEX('02_品质等级'!$C$2:$C$6,MATCH(C151,'02_品质等级'!$A$2:$A$6,0))</f>
        <v/>
      </c>
      <c r="G151" s="3">
        <f>INDEX('03_主属性基础'!$J$2:$J$13,MATCH(D151,'03_主属性基础'!$I$2:$I$13,0))</f>
        <v/>
      </c>
      <c r="H151" s="3">
        <f>E151*F151*G151</f>
        <v/>
      </c>
    </row>
    <row r="152">
      <c r="A152" s="2" t="inlineStr">
        <is>
          <t>护甲（衣服）</t>
        </is>
      </c>
      <c r="B152" s="3">
        <f>INDEX('03_主属性基础'!$B$2:$B$9,MATCH(A152,'03_主属性基础'!$A$2:$A$9,0))</f>
        <v/>
      </c>
      <c r="C152" s="2" t="inlineStr">
        <is>
          <t>紫</t>
        </is>
      </c>
      <c r="D152" s="2" t="n">
        <v>35</v>
      </c>
      <c r="E152" s="3">
        <f>INDEX('03_主属性基础'!$F$2:$F$9,MATCH(B152,'03_主属性基础'!$E$2:$E$9,0))</f>
        <v/>
      </c>
      <c r="F152" s="3">
        <f>INDEX('02_品质等级'!$C$2:$C$6,MATCH(C152,'02_品质等级'!$A$2:$A$6,0))</f>
        <v/>
      </c>
      <c r="G152" s="3">
        <f>INDEX('03_主属性基础'!$J$2:$J$13,MATCH(D152,'03_主属性基础'!$I$2:$I$13,0))</f>
        <v/>
      </c>
      <c r="H152" s="3">
        <f>E152*F152*G152</f>
        <v/>
      </c>
    </row>
    <row r="153">
      <c r="A153" s="2" t="inlineStr">
        <is>
          <t>护甲（衣服）</t>
        </is>
      </c>
      <c r="B153" s="3">
        <f>INDEX('03_主属性基础'!$B$2:$B$9,MATCH(A153,'03_主属性基础'!$A$2:$A$9,0))</f>
        <v/>
      </c>
      <c r="C153" s="2" t="inlineStr">
        <is>
          <t>紫</t>
        </is>
      </c>
      <c r="D153" s="2" t="n">
        <v>40</v>
      </c>
      <c r="E153" s="3">
        <f>INDEX('03_主属性基础'!$F$2:$F$9,MATCH(B153,'03_主属性基础'!$E$2:$E$9,0))</f>
        <v/>
      </c>
      <c r="F153" s="3">
        <f>INDEX('02_品质等级'!$C$2:$C$6,MATCH(C153,'02_品质等级'!$A$2:$A$6,0))</f>
        <v/>
      </c>
      <c r="G153" s="3">
        <f>INDEX('03_主属性基础'!$J$2:$J$13,MATCH(D153,'03_主属性基础'!$I$2:$I$13,0))</f>
        <v/>
      </c>
      <c r="H153" s="3">
        <f>E153*F153*G153</f>
        <v/>
      </c>
    </row>
    <row r="154">
      <c r="A154" s="2" t="inlineStr">
        <is>
          <t>护甲（衣服）</t>
        </is>
      </c>
      <c r="B154" s="3">
        <f>INDEX('03_主属性基础'!$B$2:$B$9,MATCH(A154,'03_主属性基础'!$A$2:$A$9,0))</f>
        <v/>
      </c>
      <c r="C154" s="2" t="inlineStr">
        <is>
          <t>紫</t>
        </is>
      </c>
      <c r="D154" s="2" t="n">
        <v>45</v>
      </c>
      <c r="E154" s="3">
        <f>INDEX('03_主属性基础'!$F$2:$F$9,MATCH(B154,'03_主属性基础'!$E$2:$E$9,0))</f>
        <v/>
      </c>
      <c r="F154" s="3">
        <f>INDEX('02_品质等级'!$C$2:$C$6,MATCH(C154,'02_品质等级'!$A$2:$A$6,0))</f>
        <v/>
      </c>
      <c r="G154" s="3">
        <f>INDEX('03_主属性基础'!$J$2:$J$13,MATCH(D154,'03_主属性基础'!$I$2:$I$13,0))</f>
        <v/>
      </c>
      <c r="H154" s="3">
        <f>E154*F154*G154</f>
        <v/>
      </c>
    </row>
    <row r="155">
      <c r="A155" s="2" t="inlineStr">
        <is>
          <t>护甲（衣服）</t>
        </is>
      </c>
      <c r="B155" s="3">
        <f>INDEX('03_主属性基础'!$B$2:$B$9,MATCH(A155,'03_主属性基础'!$A$2:$A$9,0))</f>
        <v/>
      </c>
      <c r="C155" s="2" t="inlineStr">
        <is>
          <t>紫</t>
        </is>
      </c>
      <c r="D155" s="2" t="n">
        <v>50</v>
      </c>
      <c r="E155" s="3">
        <f>INDEX('03_主属性基础'!$F$2:$F$9,MATCH(B155,'03_主属性基础'!$E$2:$E$9,0))</f>
        <v/>
      </c>
      <c r="F155" s="3">
        <f>INDEX('02_品质等级'!$C$2:$C$6,MATCH(C155,'02_品质等级'!$A$2:$A$6,0))</f>
        <v/>
      </c>
      <c r="G155" s="3">
        <f>INDEX('03_主属性基础'!$J$2:$J$13,MATCH(D155,'03_主属性基础'!$I$2:$I$13,0))</f>
        <v/>
      </c>
      <c r="H155" s="3">
        <f>E155*F155*G155</f>
        <v/>
      </c>
    </row>
    <row r="156">
      <c r="A156" s="2" t="inlineStr">
        <is>
          <t>护甲（衣服）</t>
        </is>
      </c>
      <c r="B156" s="3">
        <f>INDEX('03_主属性基础'!$B$2:$B$9,MATCH(A156,'03_主属性基础'!$A$2:$A$9,0))</f>
        <v/>
      </c>
      <c r="C156" s="2" t="inlineStr">
        <is>
          <t>紫</t>
        </is>
      </c>
      <c r="D156" s="2" t="n">
        <v>55</v>
      </c>
      <c r="E156" s="3">
        <f>INDEX('03_主属性基础'!$F$2:$F$9,MATCH(B156,'03_主属性基础'!$E$2:$E$9,0))</f>
        <v/>
      </c>
      <c r="F156" s="3">
        <f>INDEX('02_品质等级'!$C$2:$C$6,MATCH(C156,'02_品质等级'!$A$2:$A$6,0))</f>
        <v/>
      </c>
      <c r="G156" s="3">
        <f>INDEX('03_主属性基础'!$J$2:$J$13,MATCH(D156,'03_主属性基础'!$I$2:$I$13,0))</f>
        <v/>
      </c>
      <c r="H156" s="3">
        <f>E156*F156*G156</f>
        <v/>
      </c>
    </row>
    <row r="157">
      <c r="A157" s="2" t="inlineStr">
        <is>
          <t>护甲（衣服）</t>
        </is>
      </c>
      <c r="B157" s="3">
        <f>INDEX('03_主属性基础'!$B$2:$B$9,MATCH(A157,'03_主属性基础'!$A$2:$A$9,0))</f>
        <v/>
      </c>
      <c r="C157" s="2" t="inlineStr">
        <is>
          <t>紫</t>
        </is>
      </c>
      <c r="D157" s="2" t="n">
        <v>60</v>
      </c>
      <c r="E157" s="3">
        <f>INDEX('03_主属性基础'!$F$2:$F$9,MATCH(B157,'03_主属性基础'!$E$2:$E$9,0))</f>
        <v/>
      </c>
      <c r="F157" s="3">
        <f>INDEX('02_品质等级'!$C$2:$C$6,MATCH(C157,'02_品质等级'!$A$2:$A$6,0))</f>
        <v/>
      </c>
      <c r="G157" s="3">
        <f>INDEX('03_主属性基础'!$J$2:$J$13,MATCH(D157,'03_主属性基础'!$I$2:$I$13,0))</f>
        <v/>
      </c>
      <c r="H157" s="3">
        <f>E157*F157*G157</f>
        <v/>
      </c>
    </row>
    <row r="158">
      <c r="A158" s="2" t="inlineStr">
        <is>
          <t>护甲（衣服）</t>
        </is>
      </c>
      <c r="B158" s="3">
        <f>INDEX('03_主属性基础'!$B$2:$B$9,MATCH(A158,'03_主属性基础'!$A$2:$A$9,0))</f>
        <v/>
      </c>
      <c r="C158" s="2" t="inlineStr">
        <is>
          <t>金</t>
        </is>
      </c>
      <c r="D158" s="2" t="n">
        <v>5</v>
      </c>
      <c r="E158" s="3">
        <f>INDEX('03_主属性基础'!$F$2:$F$9,MATCH(B158,'03_主属性基础'!$E$2:$E$9,0))</f>
        <v/>
      </c>
      <c r="F158" s="3">
        <f>INDEX('02_品质等级'!$C$2:$C$6,MATCH(C158,'02_品质等级'!$A$2:$A$6,0))</f>
        <v/>
      </c>
      <c r="G158" s="3">
        <f>INDEX('03_主属性基础'!$J$2:$J$13,MATCH(D158,'03_主属性基础'!$I$2:$I$13,0))</f>
        <v/>
      </c>
      <c r="H158" s="3">
        <f>E158*F158*G158</f>
        <v/>
      </c>
    </row>
    <row r="159">
      <c r="A159" s="2" t="inlineStr">
        <is>
          <t>护甲（衣服）</t>
        </is>
      </c>
      <c r="B159" s="3">
        <f>INDEX('03_主属性基础'!$B$2:$B$9,MATCH(A159,'03_主属性基础'!$A$2:$A$9,0))</f>
        <v/>
      </c>
      <c r="C159" s="2" t="inlineStr">
        <is>
          <t>金</t>
        </is>
      </c>
      <c r="D159" s="2" t="n">
        <v>10</v>
      </c>
      <c r="E159" s="3">
        <f>INDEX('03_主属性基础'!$F$2:$F$9,MATCH(B159,'03_主属性基础'!$E$2:$E$9,0))</f>
        <v/>
      </c>
      <c r="F159" s="3">
        <f>INDEX('02_品质等级'!$C$2:$C$6,MATCH(C159,'02_品质等级'!$A$2:$A$6,0))</f>
        <v/>
      </c>
      <c r="G159" s="3">
        <f>INDEX('03_主属性基础'!$J$2:$J$13,MATCH(D159,'03_主属性基础'!$I$2:$I$13,0))</f>
        <v/>
      </c>
      <c r="H159" s="3">
        <f>E159*F159*G159</f>
        <v/>
      </c>
    </row>
    <row r="160">
      <c r="A160" s="2" t="inlineStr">
        <is>
          <t>护甲（衣服）</t>
        </is>
      </c>
      <c r="B160" s="3">
        <f>INDEX('03_主属性基础'!$B$2:$B$9,MATCH(A160,'03_主属性基础'!$A$2:$A$9,0))</f>
        <v/>
      </c>
      <c r="C160" s="2" t="inlineStr">
        <is>
          <t>金</t>
        </is>
      </c>
      <c r="D160" s="2" t="n">
        <v>15</v>
      </c>
      <c r="E160" s="3">
        <f>INDEX('03_主属性基础'!$F$2:$F$9,MATCH(B160,'03_主属性基础'!$E$2:$E$9,0))</f>
        <v/>
      </c>
      <c r="F160" s="3">
        <f>INDEX('02_品质等级'!$C$2:$C$6,MATCH(C160,'02_品质等级'!$A$2:$A$6,0))</f>
        <v/>
      </c>
      <c r="G160" s="3">
        <f>INDEX('03_主属性基础'!$J$2:$J$13,MATCH(D160,'03_主属性基础'!$I$2:$I$13,0))</f>
        <v/>
      </c>
      <c r="H160" s="3">
        <f>E160*F160*G160</f>
        <v/>
      </c>
    </row>
    <row r="161">
      <c r="A161" s="2" t="inlineStr">
        <is>
          <t>护甲（衣服）</t>
        </is>
      </c>
      <c r="B161" s="3">
        <f>INDEX('03_主属性基础'!$B$2:$B$9,MATCH(A161,'03_主属性基础'!$A$2:$A$9,0))</f>
        <v/>
      </c>
      <c r="C161" s="2" t="inlineStr">
        <is>
          <t>金</t>
        </is>
      </c>
      <c r="D161" s="2" t="n">
        <v>20</v>
      </c>
      <c r="E161" s="3">
        <f>INDEX('03_主属性基础'!$F$2:$F$9,MATCH(B161,'03_主属性基础'!$E$2:$E$9,0))</f>
        <v/>
      </c>
      <c r="F161" s="3">
        <f>INDEX('02_品质等级'!$C$2:$C$6,MATCH(C161,'02_品质等级'!$A$2:$A$6,0))</f>
        <v/>
      </c>
      <c r="G161" s="3">
        <f>INDEX('03_主属性基础'!$J$2:$J$13,MATCH(D161,'03_主属性基础'!$I$2:$I$13,0))</f>
        <v/>
      </c>
      <c r="H161" s="3">
        <f>E161*F161*G161</f>
        <v/>
      </c>
    </row>
    <row r="162">
      <c r="A162" s="2" t="inlineStr">
        <is>
          <t>护甲（衣服）</t>
        </is>
      </c>
      <c r="B162" s="3">
        <f>INDEX('03_主属性基础'!$B$2:$B$9,MATCH(A162,'03_主属性基础'!$A$2:$A$9,0))</f>
        <v/>
      </c>
      <c r="C162" s="2" t="inlineStr">
        <is>
          <t>金</t>
        </is>
      </c>
      <c r="D162" s="2" t="n">
        <v>25</v>
      </c>
      <c r="E162" s="3">
        <f>INDEX('03_主属性基础'!$F$2:$F$9,MATCH(B162,'03_主属性基础'!$E$2:$E$9,0))</f>
        <v/>
      </c>
      <c r="F162" s="3">
        <f>INDEX('02_品质等级'!$C$2:$C$6,MATCH(C162,'02_品质等级'!$A$2:$A$6,0))</f>
        <v/>
      </c>
      <c r="G162" s="3">
        <f>INDEX('03_主属性基础'!$J$2:$J$13,MATCH(D162,'03_主属性基础'!$I$2:$I$13,0))</f>
        <v/>
      </c>
      <c r="H162" s="3">
        <f>E162*F162*G162</f>
        <v/>
      </c>
    </row>
    <row r="163">
      <c r="A163" s="2" t="inlineStr">
        <is>
          <t>护甲（衣服）</t>
        </is>
      </c>
      <c r="B163" s="3">
        <f>INDEX('03_主属性基础'!$B$2:$B$9,MATCH(A163,'03_主属性基础'!$A$2:$A$9,0))</f>
        <v/>
      </c>
      <c r="C163" s="2" t="inlineStr">
        <is>
          <t>金</t>
        </is>
      </c>
      <c r="D163" s="2" t="n">
        <v>30</v>
      </c>
      <c r="E163" s="3">
        <f>INDEX('03_主属性基础'!$F$2:$F$9,MATCH(B163,'03_主属性基础'!$E$2:$E$9,0))</f>
        <v/>
      </c>
      <c r="F163" s="3">
        <f>INDEX('02_品质等级'!$C$2:$C$6,MATCH(C163,'02_品质等级'!$A$2:$A$6,0))</f>
        <v/>
      </c>
      <c r="G163" s="3">
        <f>INDEX('03_主属性基础'!$J$2:$J$13,MATCH(D163,'03_主属性基础'!$I$2:$I$13,0))</f>
        <v/>
      </c>
      <c r="H163" s="3">
        <f>E163*F163*G163</f>
        <v/>
      </c>
    </row>
    <row r="164">
      <c r="A164" s="2" t="inlineStr">
        <is>
          <t>护甲（衣服）</t>
        </is>
      </c>
      <c r="B164" s="3">
        <f>INDEX('03_主属性基础'!$B$2:$B$9,MATCH(A164,'03_主属性基础'!$A$2:$A$9,0))</f>
        <v/>
      </c>
      <c r="C164" s="2" t="inlineStr">
        <is>
          <t>金</t>
        </is>
      </c>
      <c r="D164" s="2" t="n">
        <v>35</v>
      </c>
      <c r="E164" s="3">
        <f>INDEX('03_主属性基础'!$F$2:$F$9,MATCH(B164,'03_主属性基础'!$E$2:$E$9,0))</f>
        <v/>
      </c>
      <c r="F164" s="3">
        <f>INDEX('02_品质等级'!$C$2:$C$6,MATCH(C164,'02_品质等级'!$A$2:$A$6,0))</f>
        <v/>
      </c>
      <c r="G164" s="3">
        <f>INDEX('03_主属性基础'!$J$2:$J$13,MATCH(D164,'03_主属性基础'!$I$2:$I$13,0))</f>
        <v/>
      </c>
      <c r="H164" s="3">
        <f>E164*F164*G164</f>
        <v/>
      </c>
    </row>
    <row r="165">
      <c r="A165" s="2" t="inlineStr">
        <is>
          <t>护甲（衣服）</t>
        </is>
      </c>
      <c r="B165" s="3">
        <f>INDEX('03_主属性基础'!$B$2:$B$9,MATCH(A165,'03_主属性基础'!$A$2:$A$9,0))</f>
        <v/>
      </c>
      <c r="C165" s="2" t="inlineStr">
        <is>
          <t>金</t>
        </is>
      </c>
      <c r="D165" s="2" t="n">
        <v>40</v>
      </c>
      <c r="E165" s="3">
        <f>INDEX('03_主属性基础'!$F$2:$F$9,MATCH(B165,'03_主属性基础'!$E$2:$E$9,0))</f>
        <v/>
      </c>
      <c r="F165" s="3">
        <f>INDEX('02_品质等级'!$C$2:$C$6,MATCH(C165,'02_品质等级'!$A$2:$A$6,0))</f>
        <v/>
      </c>
      <c r="G165" s="3">
        <f>INDEX('03_主属性基础'!$J$2:$J$13,MATCH(D165,'03_主属性基础'!$I$2:$I$13,0))</f>
        <v/>
      </c>
      <c r="H165" s="3">
        <f>E165*F165*G165</f>
        <v/>
      </c>
    </row>
    <row r="166">
      <c r="A166" s="2" t="inlineStr">
        <is>
          <t>护甲（衣服）</t>
        </is>
      </c>
      <c r="B166" s="3">
        <f>INDEX('03_主属性基础'!$B$2:$B$9,MATCH(A166,'03_主属性基础'!$A$2:$A$9,0))</f>
        <v/>
      </c>
      <c r="C166" s="2" t="inlineStr">
        <is>
          <t>金</t>
        </is>
      </c>
      <c r="D166" s="2" t="n">
        <v>45</v>
      </c>
      <c r="E166" s="3">
        <f>INDEX('03_主属性基础'!$F$2:$F$9,MATCH(B166,'03_主属性基础'!$E$2:$E$9,0))</f>
        <v/>
      </c>
      <c r="F166" s="3">
        <f>INDEX('02_品质等级'!$C$2:$C$6,MATCH(C166,'02_品质等级'!$A$2:$A$6,0))</f>
        <v/>
      </c>
      <c r="G166" s="3">
        <f>INDEX('03_主属性基础'!$J$2:$J$13,MATCH(D166,'03_主属性基础'!$I$2:$I$13,0))</f>
        <v/>
      </c>
      <c r="H166" s="3">
        <f>E166*F166*G166</f>
        <v/>
      </c>
    </row>
    <row r="167">
      <c r="A167" s="2" t="inlineStr">
        <is>
          <t>护甲（衣服）</t>
        </is>
      </c>
      <c r="B167" s="3">
        <f>INDEX('03_主属性基础'!$B$2:$B$9,MATCH(A167,'03_主属性基础'!$A$2:$A$9,0))</f>
        <v/>
      </c>
      <c r="C167" s="2" t="inlineStr">
        <is>
          <t>金</t>
        </is>
      </c>
      <c r="D167" s="2" t="n">
        <v>50</v>
      </c>
      <c r="E167" s="3">
        <f>INDEX('03_主属性基础'!$F$2:$F$9,MATCH(B167,'03_主属性基础'!$E$2:$E$9,0))</f>
        <v/>
      </c>
      <c r="F167" s="3">
        <f>INDEX('02_品质等级'!$C$2:$C$6,MATCH(C167,'02_品质等级'!$A$2:$A$6,0))</f>
        <v/>
      </c>
      <c r="G167" s="3">
        <f>INDEX('03_主属性基础'!$J$2:$J$13,MATCH(D167,'03_主属性基础'!$I$2:$I$13,0))</f>
        <v/>
      </c>
      <c r="H167" s="3">
        <f>E167*F167*G167</f>
        <v/>
      </c>
    </row>
    <row r="168">
      <c r="A168" s="2" t="inlineStr">
        <is>
          <t>护甲（衣服）</t>
        </is>
      </c>
      <c r="B168" s="3">
        <f>INDEX('03_主属性基础'!$B$2:$B$9,MATCH(A168,'03_主属性基础'!$A$2:$A$9,0))</f>
        <v/>
      </c>
      <c r="C168" s="2" t="inlineStr">
        <is>
          <t>金</t>
        </is>
      </c>
      <c r="D168" s="2" t="n">
        <v>55</v>
      </c>
      <c r="E168" s="3">
        <f>INDEX('03_主属性基础'!$F$2:$F$9,MATCH(B168,'03_主属性基础'!$E$2:$E$9,0))</f>
        <v/>
      </c>
      <c r="F168" s="3">
        <f>INDEX('02_品质等级'!$C$2:$C$6,MATCH(C168,'02_品质等级'!$A$2:$A$6,0))</f>
        <v/>
      </c>
      <c r="G168" s="3">
        <f>INDEX('03_主属性基础'!$J$2:$J$13,MATCH(D168,'03_主属性基础'!$I$2:$I$13,0))</f>
        <v/>
      </c>
      <c r="H168" s="3">
        <f>E168*F168*G168</f>
        <v/>
      </c>
    </row>
    <row r="169">
      <c r="A169" s="2" t="inlineStr">
        <is>
          <t>护甲（衣服）</t>
        </is>
      </c>
      <c r="B169" s="3">
        <f>INDEX('03_主属性基础'!$B$2:$B$9,MATCH(A169,'03_主属性基础'!$A$2:$A$9,0))</f>
        <v/>
      </c>
      <c r="C169" s="2" t="inlineStr">
        <is>
          <t>金</t>
        </is>
      </c>
      <c r="D169" s="2" t="n">
        <v>60</v>
      </c>
      <c r="E169" s="3">
        <f>INDEX('03_主属性基础'!$F$2:$F$9,MATCH(B169,'03_主属性基础'!$E$2:$E$9,0))</f>
        <v/>
      </c>
      <c r="F169" s="3">
        <f>INDEX('02_品质等级'!$C$2:$C$6,MATCH(C169,'02_品质等级'!$A$2:$A$6,0))</f>
        <v/>
      </c>
      <c r="G169" s="3">
        <f>INDEX('03_主属性基础'!$J$2:$J$13,MATCH(D169,'03_主属性基础'!$I$2:$I$13,0))</f>
        <v/>
      </c>
      <c r="H169" s="3">
        <f>E169*F169*G169</f>
        <v/>
      </c>
    </row>
    <row r="170">
      <c r="A170" s="2" t="inlineStr">
        <is>
          <t>护甲（衣服）</t>
        </is>
      </c>
      <c r="B170" s="3">
        <f>INDEX('03_主属性基础'!$B$2:$B$9,MATCH(A170,'03_主属性基础'!$A$2:$A$9,0))</f>
        <v/>
      </c>
      <c r="C170" s="2" t="inlineStr">
        <is>
          <t>红</t>
        </is>
      </c>
      <c r="D170" s="2" t="n">
        <v>5</v>
      </c>
      <c r="E170" s="3">
        <f>INDEX('03_主属性基础'!$F$2:$F$9,MATCH(B170,'03_主属性基础'!$E$2:$E$9,0))</f>
        <v/>
      </c>
      <c r="F170" s="3">
        <f>INDEX('02_品质等级'!$C$2:$C$6,MATCH(C170,'02_品质等级'!$A$2:$A$6,0))</f>
        <v/>
      </c>
      <c r="G170" s="3">
        <f>INDEX('03_主属性基础'!$J$2:$J$13,MATCH(D170,'03_主属性基础'!$I$2:$I$13,0))</f>
        <v/>
      </c>
      <c r="H170" s="3">
        <f>E170*F170*G170</f>
        <v/>
      </c>
    </row>
    <row r="171">
      <c r="A171" s="2" t="inlineStr">
        <is>
          <t>护甲（衣服）</t>
        </is>
      </c>
      <c r="B171" s="3">
        <f>INDEX('03_主属性基础'!$B$2:$B$9,MATCH(A171,'03_主属性基础'!$A$2:$A$9,0))</f>
        <v/>
      </c>
      <c r="C171" s="2" t="inlineStr">
        <is>
          <t>红</t>
        </is>
      </c>
      <c r="D171" s="2" t="n">
        <v>10</v>
      </c>
      <c r="E171" s="3">
        <f>INDEX('03_主属性基础'!$F$2:$F$9,MATCH(B171,'03_主属性基础'!$E$2:$E$9,0))</f>
        <v/>
      </c>
      <c r="F171" s="3">
        <f>INDEX('02_品质等级'!$C$2:$C$6,MATCH(C171,'02_品质等级'!$A$2:$A$6,0))</f>
        <v/>
      </c>
      <c r="G171" s="3">
        <f>INDEX('03_主属性基础'!$J$2:$J$13,MATCH(D171,'03_主属性基础'!$I$2:$I$13,0))</f>
        <v/>
      </c>
      <c r="H171" s="3">
        <f>E171*F171*G171</f>
        <v/>
      </c>
    </row>
    <row r="172">
      <c r="A172" s="2" t="inlineStr">
        <is>
          <t>护甲（衣服）</t>
        </is>
      </c>
      <c r="B172" s="3">
        <f>INDEX('03_主属性基础'!$B$2:$B$9,MATCH(A172,'03_主属性基础'!$A$2:$A$9,0))</f>
        <v/>
      </c>
      <c r="C172" s="2" t="inlineStr">
        <is>
          <t>红</t>
        </is>
      </c>
      <c r="D172" s="2" t="n">
        <v>15</v>
      </c>
      <c r="E172" s="3">
        <f>INDEX('03_主属性基础'!$F$2:$F$9,MATCH(B172,'03_主属性基础'!$E$2:$E$9,0))</f>
        <v/>
      </c>
      <c r="F172" s="3">
        <f>INDEX('02_品质等级'!$C$2:$C$6,MATCH(C172,'02_品质等级'!$A$2:$A$6,0))</f>
        <v/>
      </c>
      <c r="G172" s="3">
        <f>INDEX('03_主属性基础'!$J$2:$J$13,MATCH(D172,'03_主属性基础'!$I$2:$I$13,0))</f>
        <v/>
      </c>
      <c r="H172" s="3">
        <f>E172*F172*G172</f>
        <v/>
      </c>
    </row>
    <row r="173">
      <c r="A173" s="2" t="inlineStr">
        <is>
          <t>护甲（衣服）</t>
        </is>
      </c>
      <c r="B173" s="3">
        <f>INDEX('03_主属性基础'!$B$2:$B$9,MATCH(A173,'03_主属性基础'!$A$2:$A$9,0))</f>
        <v/>
      </c>
      <c r="C173" s="2" t="inlineStr">
        <is>
          <t>红</t>
        </is>
      </c>
      <c r="D173" s="2" t="n">
        <v>20</v>
      </c>
      <c r="E173" s="3">
        <f>INDEX('03_主属性基础'!$F$2:$F$9,MATCH(B173,'03_主属性基础'!$E$2:$E$9,0))</f>
        <v/>
      </c>
      <c r="F173" s="3">
        <f>INDEX('02_品质等级'!$C$2:$C$6,MATCH(C173,'02_品质等级'!$A$2:$A$6,0))</f>
        <v/>
      </c>
      <c r="G173" s="3">
        <f>INDEX('03_主属性基础'!$J$2:$J$13,MATCH(D173,'03_主属性基础'!$I$2:$I$13,0))</f>
        <v/>
      </c>
      <c r="H173" s="3">
        <f>E173*F173*G173</f>
        <v/>
      </c>
    </row>
    <row r="174">
      <c r="A174" s="2" t="inlineStr">
        <is>
          <t>护甲（衣服）</t>
        </is>
      </c>
      <c r="B174" s="3">
        <f>INDEX('03_主属性基础'!$B$2:$B$9,MATCH(A174,'03_主属性基础'!$A$2:$A$9,0))</f>
        <v/>
      </c>
      <c r="C174" s="2" t="inlineStr">
        <is>
          <t>红</t>
        </is>
      </c>
      <c r="D174" s="2" t="n">
        <v>25</v>
      </c>
      <c r="E174" s="3">
        <f>INDEX('03_主属性基础'!$F$2:$F$9,MATCH(B174,'03_主属性基础'!$E$2:$E$9,0))</f>
        <v/>
      </c>
      <c r="F174" s="3">
        <f>INDEX('02_品质等级'!$C$2:$C$6,MATCH(C174,'02_品质等级'!$A$2:$A$6,0))</f>
        <v/>
      </c>
      <c r="G174" s="3">
        <f>INDEX('03_主属性基础'!$J$2:$J$13,MATCH(D174,'03_主属性基础'!$I$2:$I$13,0))</f>
        <v/>
      </c>
      <c r="H174" s="3">
        <f>E174*F174*G174</f>
        <v/>
      </c>
    </row>
    <row r="175">
      <c r="A175" s="2" t="inlineStr">
        <is>
          <t>护甲（衣服）</t>
        </is>
      </c>
      <c r="B175" s="3">
        <f>INDEX('03_主属性基础'!$B$2:$B$9,MATCH(A175,'03_主属性基础'!$A$2:$A$9,0))</f>
        <v/>
      </c>
      <c r="C175" s="2" t="inlineStr">
        <is>
          <t>红</t>
        </is>
      </c>
      <c r="D175" s="2" t="n">
        <v>30</v>
      </c>
      <c r="E175" s="3">
        <f>INDEX('03_主属性基础'!$F$2:$F$9,MATCH(B175,'03_主属性基础'!$E$2:$E$9,0))</f>
        <v/>
      </c>
      <c r="F175" s="3">
        <f>INDEX('02_品质等级'!$C$2:$C$6,MATCH(C175,'02_品质等级'!$A$2:$A$6,0))</f>
        <v/>
      </c>
      <c r="G175" s="3">
        <f>INDEX('03_主属性基础'!$J$2:$J$13,MATCH(D175,'03_主属性基础'!$I$2:$I$13,0))</f>
        <v/>
      </c>
      <c r="H175" s="3">
        <f>E175*F175*G175</f>
        <v/>
      </c>
    </row>
    <row r="176">
      <c r="A176" s="2" t="inlineStr">
        <is>
          <t>护甲（衣服）</t>
        </is>
      </c>
      <c r="B176" s="3">
        <f>INDEX('03_主属性基础'!$B$2:$B$9,MATCH(A176,'03_主属性基础'!$A$2:$A$9,0))</f>
        <v/>
      </c>
      <c r="C176" s="2" t="inlineStr">
        <is>
          <t>红</t>
        </is>
      </c>
      <c r="D176" s="2" t="n">
        <v>35</v>
      </c>
      <c r="E176" s="3">
        <f>INDEX('03_主属性基础'!$F$2:$F$9,MATCH(B176,'03_主属性基础'!$E$2:$E$9,0))</f>
        <v/>
      </c>
      <c r="F176" s="3">
        <f>INDEX('02_品质等级'!$C$2:$C$6,MATCH(C176,'02_品质等级'!$A$2:$A$6,0))</f>
        <v/>
      </c>
      <c r="G176" s="3">
        <f>INDEX('03_主属性基础'!$J$2:$J$13,MATCH(D176,'03_主属性基础'!$I$2:$I$13,0))</f>
        <v/>
      </c>
      <c r="H176" s="3">
        <f>E176*F176*G176</f>
        <v/>
      </c>
    </row>
    <row r="177">
      <c r="A177" s="2" t="inlineStr">
        <is>
          <t>护甲（衣服）</t>
        </is>
      </c>
      <c r="B177" s="3">
        <f>INDEX('03_主属性基础'!$B$2:$B$9,MATCH(A177,'03_主属性基础'!$A$2:$A$9,0))</f>
        <v/>
      </c>
      <c r="C177" s="2" t="inlineStr">
        <is>
          <t>红</t>
        </is>
      </c>
      <c r="D177" s="2" t="n">
        <v>40</v>
      </c>
      <c r="E177" s="3">
        <f>INDEX('03_主属性基础'!$F$2:$F$9,MATCH(B177,'03_主属性基础'!$E$2:$E$9,0))</f>
        <v/>
      </c>
      <c r="F177" s="3">
        <f>INDEX('02_品质等级'!$C$2:$C$6,MATCH(C177,'02_品质等级'!$A$2:$A$6,0))</f>
        <v/>
      </c>
      <c r="G177" s="3">
        <f>INDEX('03_主属性基础'!$J$2:$J$13,MATCH(D177,'03_主属性基础'!$I$2:$I$13,0))</f>
        <v/>
      </c>
      <c r="H177" s="3">
        <f>E177*F177*G177</f>
        <v/>
      </c>
    </row>
    <row r="178">
      <c r="A178" s="2" t="inlineStr">
        <is>
          <t>护甲（衣服）</t>
        </is>
      </c>
      <c r="B178" s="3">
        <f>INDEX('03_主属性基础'!$B$2:$B$9,MATCH(A178,'03_主属性基础'!$A$2:$A$9,0))</f>
        <v/>
      </c>
      <c r="C178" s="2" t="inlineStr">
        <is>
          <t>红</t>
        </is>
      </c>
      <c r="D178" s="2" t="n">
        <v>45</v>
      </c>
      <c r="E178" s="3">
        <f>INDEX('03_主属性基础'!$F$2:$F$9,MATCH(B178,'03_主属性基础'!$E$2:$E$9,0))</f>
        <v/>
      </c>
      <c r="F178" s="3">
        <f>INDEX('02_品质等级'!$C$2:$C$6,MATCH(C178,'02_品质等级'!$A$2:$A$6,0))</f>
        <v/>
      </c>
      <c r="G178" s="3">
        <f>INDEX('03_主属性基础'!$J$2:$J$13,MATCH(D178,'03_主属性基础'!$I$2:$I$13,0))</f>
        <v/>
      </c>
      <c r="H178" s="3">
        <f>E178*F178*G178</f>
        <v/>
      </c>
    </row>
    <row r="179">
      <c r="A179" s="2" t="inlineStr">
        <is>
          <t>护甲（衣服）</t>
        </is>
      </c>
      <c r="B179" s="3">
        <f>INDEX('03_主属性基础'!$B$2:$B$9,MATCH(A179,'03_主属性基础'!$A$2:$A$9,0))</f>
        <v/>
      </c>
      <c r="C179" s="2" t="inlineStr">
        <is>
          <t>红</t>
        </is>
      </c>
      <c r="D179" s="2" t="n">
        <v>50</v>
      </c>
      <c r="E179" s="3">
        <f>INDEX('03_主属性基础'!$F$2:$F$9,MATCH(B179,'03_主属性基础'!$E$2:$E$9,0))</f>
        <v/>
      </c>
      <c r="F179" s="3">
        <f>INDEX('02_品质等级'!$C$2:$C$6,MATCH(C179,'02_品质等级'!$A$2:$A$6,0))</f>
        <v/>
      </c>
      <c r="G179" s="3">
        <f>INDEX('03_主属性基础'!$J$2:$J$13,MATCH(D179,'03_主属性基础'!$I$2:$I$13,0))</f>
        <v/>
      </c>
      <c r="H179" s="3">
        <f>E179*F179*G179</f>
        <v/>
      </c>
    </row>
    <row r="180">
      <c r="A180" s="2" t="inlineStr">
        <is>
          <t>护甲（衣服）</t>
        </is>
      </c>
      <c r="B180" s="3">
        <f>INDEX('03_主属性基础'!$B$2:$B$9,MATCH(A180,'03_主属性基础'!$A$2:$A$9,0))</f>
        <v/>
      </c>
      <c r="C180" s="2" t="inlineStr">
        <is>
          <t>红</t>
        </is>
      </c>
      <c r="D180" s="2" t="n">
        <v>55</v>
      </c>
      <c r="E180" s="3">
        <f>INDEX('03_主属性基础'!$F$2:$F$9,MATCH(B180,'03_主属性基础'!$E$2:$E$9,0))</f>
        <v/>
      </c>
      <c r="F180" s="3">
        <f>INDEX('02_品质等级'!$C$2:$C$6,MATCH(C180,'02_品质等级'!$A$2:$A$6,0))</f>
        <v/>
      </c>
      <c r="G180" s="3">
        <f>INDEX('03_主属性基础'!$J$2:$J$13,MATCH(D180,'03_主属性基础'!$I$2:$I$13,0))</f>
        <v/>
      </c>
      <c r="H180" s="3">
        <f>E180*F180*G180</f>
        <v/>
      </c>
    </row>
    <row r="181">
      <c r="A181" s="2" t="inlineStr">
        <is>
          <t>护甲（衣服）</t>
        </is>
      </c>
      <c r="B181" s="3">
        <f>INDEX('03_主属性基础'!$B$2:$B$9,MATCH(A181,'03_主属性基础'!$A$2:$A$9,0))</f>
        <v/>
      </c>
      <c r="C181" s="2" t="inlineStr">
        <is>
          <t>红</t>
        </is>
      </c>
      <c r="D181" s="2" t="n">
        <v>60</v>
      </c>
      <c r="E181" s="3">
        <f>INDEX('03_主属性基础'!$F$2:$F$9,MATCH(B181,'03_主属性基础'!$E$2:$E$9,0))</f>
        <v/>
      </c>
      <c r="F181" s="3">
        <f>INDEX('02_品质等级'!$C$2:$C$6,MATCH(C181,'02_品质等级'!$A$2:$A$6,0))</f>
        <v/>
      </c>
      <c r="G181" s="3">
        <f>INDEX('03_主属性基础'!$J$2:$J$13,MATCH(D181,'03_主属性基础'!$I$2:$I$13,0))</f>
        <v/>
      </c>
      <c r="H181" s="3">
        <f>E181*F181*G181</f>
        <v/>
      </c>
    </row>
    <row r="182">
      <c r="A182" s="2" t="inlineStr">
        <is>
          <t>手套</t>
        </is>
      </c>
      <c r="B182" s="3">
        <f>INDEX('03_主属性基础'!$B$2:$B$9,MATCH(A182,'03_主属性基础'!$A$2:$A$9,0))</f>
        <v/>
      </c>
      <c r="C182" s="2" t="inlineStr">
        <is>
          <t>绿</t>
        </is>
      </c>
      <c r="D182" s="2" t="n">
        <v>5</v>
      </c>
      <c r="E182" s="3">
        <f>INDEX('03_主属性基础'!$F$2:$F$9,MATCH(B182,'03_主属性基础'!$E$2:$E$9,0))</f>
        <v/>
      </c>
      <c r="F182" s="3">
        <f>INDEX('02_品质等级'!$C$2:$C$6,MATCH(C182,'02_品质等级'!$A$2:$A$6,0))</f>
        <v/>
      </c>
      <c r="G182" s="3">
        <f>INDEX('03_主属性基础'!$J$2:$J$13,MATCH(D182,'03_主属性基础'!$I$2:$I$13,0))</f>
        <v/>
      </c>
      <c r="H182" s="3">
        <f>E182*F182*G182</f>
        <v/>
      </c>
    </row>
    <row r="183">
      <c r="A183" s="2" t="inlineStr">
        <is>
          <t>手套</t>
        </is>
      </c>
      <c r="B183" s="3">
        <f>INDEX('03_主属性基础'!$B$2:$B$9,MATCH(A183,'03_主属性基础'!$A$2:$A$9,0))</f>
        <v/>
      </c>
      <c r="C183" s="2" t="inlineStr">
        <is>
          <t>绿</t>
        </is>
      </c>
      <c r="D183" s="2" t="n">
        <v>10</v>
      </c>
      <c r="E183" s="3">
        <f>INDEX('03_主属性基础'!$F$2:$F$9,MATCH(B183,'03_主属性基础'!$E$2:$E$9,0))</f>
        <v/>
      </c>
      <c r="F183" s="3">
        <f>INDEX('02_品质等级'!$C$2:$C$6,MATCH(C183,'02_品质等级'!$A$2:$A$6,0))</f>
        <v/>
      </c>
      <c r="G183" s="3">
        <f>INDEX('03_主属性基础'!$J$2:$J$13,MATCH(D183,'03_主属性基础'!$I$2:$I$13,0))</f>
        <v/>
      </c>
      <c r="H183" s="3">
        <f>E183*F183*G183</f>
        <v/>
      </c>
    </row>
    <row r="184">
      <c r="A184" s="2" t="inlineStr">
        <is>
          <t>手套</t>
        </is>
      </c>
      <c r="B184" s="3">
        <f>INDEX('03_主属性基础'!$B$2:$B$9,MATCH(A184,'03_主属性基础'!$A$2:$A$9,0))</f>
        <v/>
      </c>
      <c r="C184" s="2" t="inlineStr">
        <is>
          <t>绿</t>
        </is>
      </c>
      <c r="D184" s="2" t="n">
        <v>15</v>
      </c>
      <c r="E184" s="3">
        <f>INDEX('03_主属性基础'!$F$2:$F$9,MATCH(B184,'03_主属性基础'!$E$2:$E$9,0))</f>
        <v/>
      </c>
      <c r="F184" s="3">
        <f>INDEX('02_品质等级'!$C$2:$C$6,MATCH(C184,'02_品质等级'!$A$2:$A$6,0))</f>
        <v/>
      </c>
      <c r="G184" s="3">
        <f>INDEX('03_主属性基础'!$J$2:$J$13,MATCH(D184,'03_主属性基础'!$I$2:$I$13,0))</f>
        <v/>
      </c>
      <c r="H184" s="3">
        <f>E184*F184*G184</f>
        <v/>
      </c>
    </row>
    <row r="185">
      <c r="A185" s="2" t="inlineStr">
        <is>
          <t>手套</t>
        </is>
      </c>
      <c r="B185" s="3">
        <f>INDEX('03_主属性基础'!$B$2:$B$9,MATCH(A185,'03_主属性基础'!$A$2:$A$9,0))</f>
        <v/>
      </c>
      <c r="C185" s="2" t="inlineStr">
        <is>
          <t>绿</t>
        </is>
      </c>
      <c r="D185" s="2" t="n">
        <v>20</v>
      </c>
      <c r="E185" s="3">
        <f>INDEX('03_主属性基础'!$F$2:$F$9,MATCH(B185,'03_主属性基础'!$E$2:$E$9,0))</f>
        <v/>
      </c>
      <c r="F185" s="3">
        <f>INDEX('02_品质等级'!$C$2:$C$6,MATCH(C185,'02_品质等级'!$A$2:$A$6,0))</f>
        <v/>
      </c>
      <c r="G185" s="3">
        <f>INDEX('03_主属性基础'!$J$2:$J$13,MATCH(D185,'03_主属性基础'!$I$2:$I$13,0))</f>
        <v/>
      </c>
      <c r="H185" s="3">
        <f>E185*F185*G185</f>
        <v/>
      </c>
    </row>
    <row r="186">
      <c r="A186" s="2" t="inlineStr">
        <is>
          <t>手套</t>
        </is>
      </c>
      <c r="B186" s="3">
        <f>INDEX('03_主属性基础'!$B$2:$B$9,MATCH(A186,'03_主属性基础'!$A$2:$A$9,0))</f>
        <v/>
      </c>
      <c r="C186" s="2" t="inlineStr">
        <is>
          <t>绿</t>
        </is>
      </c>
      <c r="D186" s="2" t="n">
        <v>25</v>
      </c>
      <c r="E186" s="3">
        <f>INDEX('03_主属性基础'!$F$2:$F$9,MATCH(B186,'03_主属性基础'!$E$2:$E$9,0))</f>
        <v/>
      </c>
      <c r="F186" s="3">
        <f>INDEX('02_品质等级'!$C$2:$C$6,MATCH(C186,'02_品质等级'!$A$2:$A$6,0))</f>
        <v/>
      </c>
      <c r="G186" s="3">
        <f>INDEX('03_主属性基础'!$J$2:$J$13,MATCH(D186,'03_主属性基础'!$I$2:$I$13,0))</f>
        <v/>
      </c>
      <c r="H186" s="3">
        <f>E186*F186*G186</f>
        <v/>
      </c>
    </row>
    <row r="187">
      <c r="A187" s="2" t="inlineStr">
        <is>
          <t>手套</t>
        </is>
      </c>
      <c r="B187" s="3">
        <f>INDEX('03_主属性基础'!$B$2:$B$9,MATCH(A187,'03_主属性基础'!$A$2:$A$9,0))</f>
        <v/>
      </c>
      <c r="C187" s="2" t="inlineStr">
        <is>
          <t>绿</t>
        </is>
      </c>
      <c r="D187" s="2" t="n">
        <v>30</v>
      </c>
      <c r="E187" s="3">
        <f>INDEX('03_主属性基础'!$F$2:$F$9,MATCH(B187,'03_主属性基础'!$E$2:$E$9,0))</f>
        <v/>
      </c>
      <c r="F187" s="3">
        <f>INDEX('02_品质等级'!$C$2:$C$6,MATCH(C187,'02_品质等级'!$A$2:$A$6,0))</f>
        <v/>
      </c>
      <c r="G187" s="3">
        <f>INDEX('03_主属性基础'!$J$2:$J$13,MATCH(D187,'03_主属性基础'!$I$2:$I$13,0))</f>
        <v/>
      </c>
      <c r="H187" s="3">
        <f>E187*F187*G187</f>
        <v/>
      </c>
    </row>
    <row r="188">
      <c r="A188" s="2" t="inlineStr">
        <is>
          <t>手套</t>
        </is>
      </c>
      <c r="B188" s="3">
        <f>INDEX('03_主属性基础'!$B$2:$B$9,MATCH(A188,'03_主属性基础'!$A$2:$A$9,0))</f>
        <v/>
      </c>
      <c r="C188" s="2" t="inlineStr">
        <is>
          <t>绿</t>
        </is>
      </c>
      <c r="D188" s="2" t="n">
        <v>35</v>
      </c>
      <c r="E188" s="3">
        <f>INDEX('03_主属性基础'!$F$2:$F$9,MATCH(B188,'03_主属性基础'!$E$2:$E$9,0))</f>
        <v/>
      </c>
      <c r="F188" s="3">
        <f>INDEX('02_品质等级'!$C$2:$C$6,MATCH(C188,'02_品质等级'!$A$2:$A$6,0))</f>
        <v/>
      </c>
      <c r="G188" s="3">
        <f>INDEX('03_主属性基础'!$J$2:$J$13,MATCH(D188,'03_主属性基础'!$I$2:$I$13,0))</f>
        <v/>
      </c>
      <c r="H188" s="3">
        <f>E188*F188*G188</f>
        <v/>
      </c>
    </row>
    <row r="189">
      <c r="A189" s="2" t="inlineStr">
        <is>
          <t>手套</t>
        </is>
      </c>
      <c r="B189" s="3">
        <f>INDEX('03_主属性基础'!$B$2:$B$9,MATCH(A189,'03_主属性基础'!$A$2:$A$9,0))</f>
        <v/>
      </c>
      <c r="C189" s="2" t="inlineStr">
        <is>
          <t>绿</t>
        </is>
      </c>
      <c r="D189" s="2" t="n">
        <v>40</v>
      </c>
      <c r="E189" s="3">
        <f>INDEX('03_主属性基础'!$F$2:$F$9,MATCH(B189,'03_主属性基础'!$E$2:$E$9,0))</f>
        <v/>
      </c>
      <c r="F189" s="3">
        <f>INDEX('02_品质等级'!$C$2:$C$6,MATCH(C189,'02_品质等级'!$A$2:$A$6,0))</f>
        <v/>
      </c>
      <c r="G189" s="3">
        <f>INDEX('03_主属性基础'!$J$2:$J$13,MATCH(D189,'03_主属性基础'!$I$2:$I$13,0))</f>
        <v/>
      </c>
      <c r="H189" s="3">
        <f>E189*F189*G189</f>
        <v/>
      </c>
    </row>
    <row r="190">
      <c r="A190" s="2" t="inlineStr">
        <is>
          <t>手套</t>
        </is>
      </c>
      <c r="B190" s="3">
        <f>INDEX('03_主属性基础'!$B$2:$B$9,MATCH(A190,'03_主属性基础'!$A$2:$A$9,0))</f>
        <v/>
      </c>
      <c r="C190" s="2" t="inlineStr">
        <is>
          <t>绿</t>
        </is>
      </c>
      <c r="D190" s="2" t="n">
        <v>45</v>
      </c>
      <c r="E190" s="3">
        <f>INDEX('03_主属性基础'!$F$2:$F$9,MATCH(B190,'03_主属性基础'!$E$2:$E$9,0))</f>
        <v/>
      </c>
      <c r="F190" s="3">
        <f>INDEX('02_品质等级'!$C$2:$C$6,MATCH(C190,'02_品质等级'!$A$2:$A$6,0))</f>
        <v/>
      </c>
      <c r="G190" s="3">
        <f>INDEX('03_主属性基础'!$J$2:$J$13,MATCH(D190,'03_主属性基础'!$I$2:$I$13,0))</f>
        <v/>
      </c>
      <c r="H190" s="3">
        <f>E190*F190*G190</f>
        <v/>
      </c>
    </row>
    <row r="191">
      <c r="A191" s="2" t="inlineStr">
        <is>
          <t>手套</t>
        </is>
      </c>
      <c r="B191" s="3">
        <f>INDEX('03_主属性基础'!$B$2:$B$9,MATCH(A191,'03_主属性基础'!$A$2:$A$9,0))</f>
        <v/>
      </c>
      <c r="C191" s="2" t="inlineStr">
        <is>
          <t>绿</t>
        </is>
      </c>
      <c r="D191" s="2" t="n">
        <v>50</v>
      </c>
      <c r="E191" s="3">
        <f>INDEX('03_主属性基础'!$F$2:$F$9,MATCH(B191,'03_主属性基础'!$E$2:$E$9,0))</f>
        <v/>
      </c>
      <c r="F191" s="3">
        <f>INDEX('02_品质等级'!$C$2:$C$6,MATCH(C191,'02_品质等级'!$A$2:$A$6,0))</f>
        <v/>
      </c>
      <c r="G191" s="3">
        <f>INDEX('03_主属性基础'!$J$2:$J$13,MATCH(D191,'03_主属性基础'!$I$2:$I$13,0))</f>
        <v/>
      </c>
      <c r="H191" s="3">
        <f>E191*F191*G191</f>
        <v/>
      </c>
    </row>
    <row r="192">
      <c r="A192" s="2" t="inlineStr">
        <is>
          <t>手套</t>
        </is>
      </c>
      <c r="B192" s="3">
        <f>INDEX('03_主属性基础'!$B$2:$B$9,MATCH(A192,'03_主属性基础'!$A$2:$A$9,0))</f>
        <v/>
      </c>
      <c r="C192" s="2" t="inlineStr">
        <is>
          <t>绿</t>
        </is>
      </c>
      <c r="D192" s="2" t="n">
        <v>55</v>
      </c>
      <c r="E192" s="3">
        <f>INDEX('03_主属性基础'!$F$2:$F$9,MATCH(B192,'03_主属性基础'!$E$2:$E$9,0))</f>
        <v/>
      </c>
      <c r="F192" s="3">
        <f>INDEX('02_品质等级'!$C$2:$C$6,MATCH(C192,'02_品质等级'!$A$2:$A$6,0))</f>
        <v/>
      </c>
      <c r="G192" s="3">
        <f>INDEX('03_主属性基础'!$J$2:$J$13,MATCH(D192,'03_主属性基础'!$I$2:$I$13,0))</f>
        <v/>
      </c>
      <c r="H192" s="3">
        <f>E192*F192*G192</f>
        <v/>
      </c>
    </row>
    <row r="193">
      <c r="A193" s="2" t="inlineStr">
        <is>
          <t>手套</t>
        </is>
      </c>
      <c r="B193" s="3">
        <f>INDEX('03_主属性基础'!$B$2:$B$9,MATCH(A193,'03_主属性基础'!$A$2:$A$9,0))</f>
        <v/>
      </c>
      <c r="C193" s="2" t="inlineStr">
        <is>
          <t>绿</t>
        </is>
      </c>
      <c r="D193" s="2" t="n">
        <v>60</v>
      </c>
      <c r="E193" s="3">
        <f>INDEX('03_主属性基础'!$F$2:$F$9,MATCH(B193,'03_主属性基础'!$E$2:$E$9,0))</f>
        <v/>
      </c>
      <c r="F193" s="3">
        <f>INDEX('02_品质等级'!$C$2:$C$6,MATCH(C193,'02_品质等级'!$A$2:$A$6,0))</f>
        <v/>
      </c>
      <c r="G193" s="3">
        <f>INDEX('03_主属性基础'!$J$2:$J$13,MATCH(D193,'03_主属性基础'!$I$2:$I$13,0))</f>
        <v/>
      </c>
      <c r="H193" s="3">
        <f>E193*F193*G193</f>
        <v/>
      </c>
    </row>
    <row r="194">
      <c r="A194" s="2" t="inlineStr">
        <is>
          <t>手套</t>
        </is>
      </c>
      <c r="B194" s="3">
        <f>INDEX('03_主属性基础'!$B$2:$B$9,MATCH(A194,'03_主属性基础'!$A$2:$A$9,0))</f>
        <v/>
      </c>
      <c r="C194" s="2" t="inlineStr">
        <is>
          <t>蓝</t>
        </is>
      </c>
      <c r="D194" s="2" t="n">
        <v>5</v>
      </c>
      <c r="E194" s="3">
        <f>INDEX('03_主属性基础'!$F$2:$F$9,MATCH(B194,'03_主属性基础'!$E$2:$E$9,0))</f>
        <v/>
      </c>
      <c r="F194" s="3">
        <f>INDEX('02_品质等级'!$C$2:$C$6,MATCH(C194,'02_品质等级'!$A$2:$A$6,0))</f>
        <v/>
      </c>
      <c r="G194" s="3">
        <f>INDEX('03_主属性基础'!$J$2:$J$13,MATCH(D194,'03_主属性基础'!$I$2:$I$13,0))</f>
        <v/>
      </c>
      <c r="H194" s="3">
        <f>E194*F194*G194</f>
        <v/>
      </c>
    </row>
    <row r="195">
      <c r="A195" s="2" t="inlineStr">
        <is>
          <t>手套</t>
        </is>
      </c>
      <c r="B195" s="3">
        <f>INDEX('03_主属性基础'!$B$2:$B$9,MATCH(A195,'03_主属性基础'!$A$2:$A$9,0))</f>
        <v/>
      </c>
      <c r="C195" s="2" t="inlineStr">
        <is>
          <t>蓝</t>
        </is>
      </c>
      <c r="D195" s="2" t="n">
        <v>10</v>
      </c>
      <c r="E195" s="3">
        <f>INDEX('03_主属性基础'!$F$2:$F$9,MATCH(B195,'03_主属性基础'!$E$2:$E$9,0))</f>
        <v/>
      </c>
      <c r="F195" s="3">
        <f>INDEX('02_品质等级'!$C$2:$C$6,MATCH(C195,'02_品质等级'!$A$2:$A$6,0))</f>
        <v/>
      </c>
      <c r="G195" s="3">
        <f>INDEX('03_主属性基础'!$J$2:$J$13,MATCH(D195,'03_主属性基础'!$I$2:$I$13,0))</f>
        <v/>
      </c>
      <c r="H195" s="3">
        <f>E195*F195*G195</f>
        <v/>
      </c>
    </row>
    <row r="196">
      <c r="A196" s="2" t="inlineStr">
        <is>
          <t>手套</t>
        </is>
      </c>
      <c r="B196" s="3">
        <f>INDEX('03_主属性基础'!$B$2:$B$9,MATCH(A196,'03_主属性基础'!$A$2:$A$9,0))</f>
        <v/>
      </c>
      <c r="C196" s="2" t="inlineStr">
        <is>
          <t>蓝</t>
        </is>
      </c>
      <c r="D196" s="2" t="n">
        <v>15</v>
      </c>
      <c r="E196" s="3">
        <f>INDEX('03_主属性基础'!$F$2:$F$9,MATCH(B196,'03_主属性基础'!$E$2:$E$9,0))</f>
        <v/>
      </c>
      <c r="F196" s="3">
        <f>INDEX('02_品质等级'!$C$2:$C$6,MATCH(C196,'02_品质等级'!$A$2:$A$6,0))</f>
        <v/>
      </c>
      <c r="G196" s="3">
        <f>INDEX('03_主属性基础'!$J$2:$J$13,MATCH(D196,'03_主属性基础'!$I$2:$I$13,0))</f>
        <v/>
      </c>
      <c r="H196" s="3">
        <f>E196*F196*G196</f>
        <v/>
      </c>
    </row>
    <row r="197">
      <c r="A197" s="2" t="inlineStr">
        <is>
          <t>手套</t>
        </is>
      </c>
      <c r="B197" s="3">
        <f>INDEX('03_主属性基础'!$B$2:$B$9,MATCH(A197,'03_主属性基础'!$A$2:$A$9,0))</f>
        <v/>
      </c>
      <c r="C197" s="2" t="inlineStr">
        <is>
          <t>蓝</t>
        </is>
      </c>
      <c r="D197" s="2" t="n">
        <v>20</v>
      </c>
      <c r="E197" s="3">
        <f>INDEX('03_主属性基础'!$F$2:$F$9,MATCH(B197,'03_主属性基础'!$E$2:$E$9,0))</f>
        <v/>
      </c>
      <c r="F197" s="3">
        <f>INDEX('02_品质等级'!$C$2:$C$6,MATCH(C197,'02_品质等级'!$A$2:$A$6,0))</f>
        <v/>
      </c>
      <c r="G197" s="3">
        <f>INDEX('03_主属性基础'!$J$2:$J$13,MATCH(D197,'03_主属性基础'!$I$2:$I$13,0))</f>
        <v/>
      </c>
      <c r="H197" s="3">
        <f>E197*F197*G197</f>
        <v/>
      </c>
    </row>
    <row r="198">
      <c r="A198" s="2" t="inlineStr">
        <is>
          <t>手套</t>
        </is>
      </c>
      <c r="B198" s="3">
        <f>INDEX('03_主属性基础'!$B$2:$B$9,MATCH(A198,'03_主属性基础'!$A$2:$A$9,0))</f>
        <v/>
      </c>
      <c r="C198" s="2" t="inlineStr">
        <is>
          <t>蓝</t>
        </is>
      </c>
      <c r="D198" s="2" t="n">
        <v>25</v>
      </c>
      <c r="E198" s="3">
        <f>INDEX('03_主属性基础'!$F$2:$F$9,MATCH(B198,'03_主属性基础'!$E$2:$E$9,0))</f>
        <v/>
      </c>
      <c r="F198" s="3">
        <f>INDEX('02_品质等级'!$C$2:$C$6,MATCH(C198,'02_品质等级'!$A$2:$A$6,0))</f>
        <v/>
      </c>
      <c r="G198" s="3">
        <f>INDEX('03_主属性基础'!$J$2:$J$13,MATCH(D198,'03_主属性基础'!$I$2:$I$13,0))</f>
        <v/>
      </c>
      <c r="H198" s="3">
        <f>E198*F198*G198</f>
        <v/>
      </c>
    </row>
    <row r="199">
      <c r="A199" s="2" t="inlineStr">
        <is>
          <t>手套</t>
        </is>
      </c>
      <c r="B199" s="3">
        <f>INDEX('03_主属性基础'!$B$2:$B$9,MATCH(A199,'03_主属性基础'!$A$2:$A$9,0))</f>
        <v/>
      </c>
      <c r="C199" s="2" t="inlineStr">
        <is>
          <t>蓝</t>
        </is>
      </c>
      <c r="D199" s="2" t="n">
        <v>30</v>
      </c>
      <c r="E199" s="3">
        <f>INDEX('03_主属性基础'!$F$2:$F$9,MATCH(B199,'03_主属性基础'!$E$2:$E$9,0))</f>
        <v/>
      </c>
      <c r="F199" s="3">
        <f>INDEX('02_品质等级'!$C$2:$C$6,MATCH(C199,'02_品质等级'!$A$2:$A$6,0))</f>
        <v/>
      </c>
      <c r="G199" s="3">
        <f>INDEX('03_主属性基础'!$J$2:$J$13,MATCH(D199,'03_主属性基础'!$I$2:$I$13,0))</f>
        <v/>
      </c>
      <c r="H199" s="3">
        <f>E199*F199*G199</f>
        <v/>
      </c>
    </row>
    <row r="200">
      <c r="A200" s="2" t="inlineStr">
        <is>
          <t>手套</t>
        </is>
      </c>
      <c r="B200" s="3">
        <f>INDEX('03_主属性基础'!$B$2:$B$9,MATCH(A200,'03_主属性基础'!$A$2:$A$9,0))</f>
        <v/>
      </c>
      <c r="C200" s="2" t="inlineStr">
        <is>
          <t>蓝</t>
        </is>
      </c>
      <c r="D200" s="2" t="n">
        <v>35</v>
      </c>
      <c r="E200" s="3">
        <f>INDEX('03_主属性基础'!$F$2:$F$9,MATCH(B200,'03_主属性基础'!$E$2:$E$9,0))</f>
        <v/>
      </c>
      <c r="F200" s="3">
        <f>INDEX('02_品质等级'!$C$2:$C$6,MATCH(C200,'02_品质等级'!$A$2:$A$6,0))</f>
        <v/>
      </c>
      <c r="G200" s="3">
        <f>INDEX('03_主属性基础'!$J$2:$J$13,MATCH(D200,'03_主属性基础'!$I$2:$I$13,0))</f>
        <v/>
      </c>
      <c r="H200" s="3">
        <f>E200*F200*G200</f>
        <v/>
      </c>
    </row>
    <row r="201">
      <c r="A201" s="2" t="inlineStr">
        <is>
          <t>手套</t>
        </is>
      </c>
      <c r="B201" s="3">
        <f>INDEX('03_主属性基础'!$B$2:$B$9,MATCH(A201,'03_主属性基础'!$A$2:$A$9,0))</f>
        <v/>
      </c>
      <c r="C201" s="2" t="inlineStr">
        <is>
          <t>蓝</t>
        </is>
      </c>
      <c r="D201" s="2" t="n">
        <v>40</v>
      </c>
      <c r="E201" s="3">
        <f>INDEX('03_主属性基础'!$F$2:$F$9,MATCH(B201,'03_主属性基础'!$E$2:$E$9,0))</f>
        <v/>
      </c>
      <c r="F201" s="3">
        <f>INDEX('02_品质等级'!$C$2:$C$6,MATCH(C201,'02_品质等级'!$A$2:$A$6,0))</f>
        <v/>
      </c>
      <c r="G201" s="3">
        <f>INDEX('03_主属性基础'!$J$2:$J$13,MATCH(D201,'03_主属性基础'!$I$2:$I$13,0))</f>
        <v/>
      </c>
      <c r="H201" s="3">
        <f>E201*F201*G201</f>
        <v/>
      </c>
    </row>
    <row r="202">
      <c r="A202" s="2" t="inlineStr">
        <is>
          <t>手套</t>
        </is>
      </c>
      <c r="B202" s="3">
        <f>INDEX('03_主属性基础'!$B$2:$B$9,MATCH(A202,'03_主属性基础'!$A$2:$A$9,0))</f>
        <v/>
      </c>
      <c r="C202" s="2" t="inlineStr">
        <is>
          <t>蓝</t>
        </is>
      </c>
      <c r="D202" s="2" t="n">
        <v>45</v>
      </c>
      <c r="E202" s="3">
        <f>INDEX('03_主属性基础'!$F$2:$F$9,MATCH(B202,'03_主属性基础'!$E$2:$E$9,0))</f>
        <v/>
      </c>
      <c r="F202" s="3">
        <f>INDEX('02_品质等级'!$C$2:$C$6,MATCH(C202,'02_品质等级'!$A$2:$A$6,0))</f>
        <v/>
      </c>
      <c r="G202" s="3">
        <f>INDEX('03_主属性基础'!$J$2:$J$13,MATCH(D202,'03_主属性基础'!$I$2:$I$13,0))</f>
        <v/>
      </c>
      <c r="H202" s="3">
        <f>E202*F202*G202</f>
        <v/>
      </c>
    </row>
    <row r="203">
      <c r="A203" s="2" t="inlineStr">
        <is>
          <t>手套</t>
        </is>
      </c>
      <c r="B203" s="3">
        <f>INDEX('03_主属性基础'!$B$2:$B$9,MATCH(A203,'03_主属性基础'!$A$2:$A$9,0))</f>
        <v/>
      </c>
      <c r="C203" s="2" t="inlineStr">
        <is>
          <t>蓝</t>
        </is>
      </c>
      <c r="D203" s="2" t="n">
        <v>50</v>
      </c>
      <c r="E203" s="3">
        <f>INDEX('03_主属性基础'!$F$2:$F$9,MATCH(B203,'03_主属性基础'!$E$2:$E$9,0))</f>
        <v/>
      </c>
      <c r="F203" s="3">
        <f>INDEX('02_品质等级'!$C$2:$C$6,MATCH(C203,'02_品质等级'!$A$2:$A$6,0))</f>
        <v/>
      </c>
      <c r="G203" s="3">
        <f>INDEX('03_主属性基础'!$J$2:$J$13,MATCH(D203,'03_主属性基础'!$I$2:$I$13,0))</f>
        <v/>
      </c>
      <c r="H203" s="3">
        <f>E203*F203*G203</f>
        <v/>
      </c>
    </row>
    <row r="204">
      <c r="A204" s="2" t="inlineStr">
        <is>
          <t>手套</t>
        </is>
      </c>
      <c r="B204" s="3">
        <f>INDEX('03_主属性基础'!$B$2:$B$9,MATCH(A204,'03_主属性基础'!$A$2:$A$9,0))</f>
        <v/>
      </c>
      <c r="C204" s="2" t="inlineStr">
        <is>
          <t>蓝</t>
        </is>
      </c>
      <c r="D204" s="2" t="n">
        <v>55</v>
      </c>
      <c r="E204" s="3">
        <f>INDEX('03_主属性基础'!$F$2:$F$9,MATCH(B204,'03_主属性基础'!$E$2:$E$9,0))</f>
        <v/>
      </c>
      <c r="F204" s="3">
        <f>INDEX('02_品质等级'!$C$2:$C$6,MATCH(C204,'02_品质等级'!$A$2:$A$6,0))</f>
        <v/>
      </c>
      <c r="G204" s="3">
        <f>INDEX('03_主属性基础'!$J$2:$J$13,MATCH(D204,'03_主属性基础'!$I$2:$I$13,0))</f>
        <v/>
      </c>
      <c r="H204" s="3">
        <f>E204*F204*G204</f>
        <v/>
      </c>
    </row>
    <row r="205">
      <c r="A205" s="2" t="inlineStr">
        <is>
          <t>手套</t>
        </is>
      </c>
      <c r="B205" s="3">
        <f>INDEX('03_主属性基础'!$B$2:$B$9,MATCH(A205,'03_主属性基础'!$A$2:$A$9,0))</f>
        <v/>
      </c>
      <c r="C205" s="2" t="inlineStr">
        <is>
          <t>蓝</t>
        </is>
      </c>
      <c r="D205" s="2" t="n">
        <v>60</v>
      </c>
      <c r="E205" s="3">
        <f>INDEX('03_主属性基础'!$F$2:$F$9,MATCH(B205,'03_主属性基础'!$E$2:$E$9,0))</f>
        <v/>
      </c>
      <c r="F205" s="3">
        <f>INDEX('02_品质等级'!$C$2:$C$6,MATCH(C205,'02_品质等级'!$A$2:$A$6,0))</f>
        <v/>
      </c>
      <c r="G205" s="3">
        <f>INDEX('03_主属性基础'!$J$2:$J$13,MATCH(D205,'03_主属性基础'!$I$2:$I$13,0))</f>
        <v/>
      </c>
      <c r="H205" s="3">
        <f>E205*F205*G205</f>
        <v/>
      </c>
    </row>
    <row r="206">
      <c r="A206" s="2" t="inlineStr">
        <is>
          <t>手套</t>
        </is>
      </c>
      <c r="B206" s="3">
        <f>INDEX('03_主属性基础'!$B$2:$B$9,MATCH(A206,'03_主属性基础'!$A$2:$A$9,0))</f>
        <v/>
      </c>
      <c r="C206" s="2" t="inlineStr">
        <is>
          <t>紫</t>
        </is>
      </c>
      <c r="D206" s="2" t="n">
        <v>5</v>
      </c>
      <c r="E206" s="3">
        <f>INDEX('03_主属性基础'!$F$2:$F$9,MATCH(B206,'03_主属性基础'!$E$2:$E$9,0))</f>
        <v/>
      </c>
      <c r="F206" s="3">
        <f>INDEX('02_品质等级'!$C$2:$C$6,MATCH(C206,'02_品质等级'!$A$2:$A$6,0))</f>
        <v/>
      </c>
      <c r="G206" s="3">
        <f>INDEX('03_主属性基础'!$J$2:$J$13,MATCH(D206,'03_主属性基础'!$I$2:$I$13,0))</f>
        <v/>
      </c>
      <c r="H206" s="3">
        <f>E206*F206*G206</f>
        <v/>
      </c>
    </row>
    <row r="207">
      <c r="A207" s="2" t="inlineStr">
        <is>
          <t>手套</t>
        </is>
      </c>
      <c r="B207" s="3">
        <f>INDEX('03_主属性基础'!$B$2:$B$9,MATCH(A207,'03_主属性基础'!$A$2:$A$9,0))</f>
        <v/>
      </c>
      <c r="C207" s="2" t="inlineStr">
        <is>
          <t>紫</t>
        </is>
      </c>
      <c r="D207" s="2" t="n">
        <v>10</v>
      </c>
      <c r="E207" s="3">
        <f>INDEX('03_主属性基础'!$F$2:$F$9,MATCH(B207,'03_主属性基础'!$E$2:$E$9,0))</f>
        <v/>
      </c>
      <c r="F207" s="3">
        <f>INDEX('02_品质等级'!$C$2:$C$6,MATCH(C207,'02_品质等级'!$A$2:$A$6,0))</f>
        <v/>
      </c>
      <c r="G207" s="3">
        <f>INDEX('03_主属性基础'!$J$2:$J$13,MATCH(D207,'03_主属性基础'!$I$2:$I$13,0))</f>
        <v/>
      </c>
      <c r="H207" s="3">
        <f>E207*F207*G207</f>
        <v/>
      </c>
    </row>
    <row r="208">
      <c r="A208" s="2" t="inlineStr">
        <is>
          <t>手套</t>
        </is>
      </c>
      <c r="B208" s="3">
        <f>INDEX('03_主属性基础'!$B$2:$B$9,MATCH(A208,'03_主属性基础'!$A$2:$A$9,0))</f>
        <v/>
      </c>
      <c r="C208" s="2" t="inlineStr">
        <is>
          <t>紫</t>
        </is>
      </c>
      <c r="D208" s="2" t="n">
        <v>15</v>
      </c>
      <c r="E208" s="3">
        <f>INDEX('03_主属性基础'!$F$2:$F$9,MATCH(B208,'03_主属性基础'!$E$2:$E$9,0))</f>
        <v/>
      </c>
      <c r="F208" s="3">
        <f>INDEX('02_品质等级'!$C$2:$C$6,MATCH(C208,'02_品质等级'!$A$2:$A$6,0))</f>
        <v/>
      </c>
      <c r="G208" s="3">
        <f>INDEX('03_主属性基础'!$J$2:$J$13,MATCH(D208,'03_主属性基础'!$I$2:$I$13,0))</f>
        <v/>
      </c>
      <c r="H208" s="3">
        <f>E208*F208*G208</f>
        <v/>
      </c>
    </row>
    <row r="209">
      <c r="A209" s="2" t="inlineStr">
        <is>
          <t>手套</t>
        </is>
      </c>
      <c r="B209" s="3">
        <f>INDEX('03_主属性基础'!$B$2:$B$9,MATCH(A209,'03_主属性基础'!$A$2:$A$9,0))</f>
        <v/>
      </c>
      <c r="C209" s="2" t="inlineStr">
        <is>
          <t>紫</t>
        </is>
      </c>
      <c r="D209" s="2" t="n">
        <v>20</v>
      </c>
      <c r="E209" s="3">
        <f>INDEX('03_主属性基础'!$F$2:$F$9,MATCH(B209,'03_主属性基础'!$E$2:$E$9,0))</f>
        <v/>
      </c>
      <c r="F209" s="3">
        <f>INDEX('02_品质等级'!$C$2:$C$6,MATCH(C209,'02_品质等级'!$A$2:$A$6,0))</f>
        <v/>
      </c>
      <c r="G209" s="3">
        <f>INDEX('03_主属性基础'!$J$2:$J$13,MATCH(D209,'03_主属性基础'!$I$2:$I$13,0))</f>
        <v/>
      </c>
      <c r="H209" s="3">
        <f>E209*F209*G209</f>
        <v/>
      </c>
    </row>
    <row r="210">
      <c r="A210" s="2" t="inlineStr">
        <is>
          <t>手套</t>
        </is>
      </c>
      <c r="B210" s="3">
        <f>INDEX('03_主属性基础'!$B$2:$B$9,MATCH(A210,'03_主属性基础'!$A$2:$A$9,0))</f>
        <v/>
      </c>
      <c r="C210" s="2" t="inlineStr">
        <is>
          <t>紫</t>
        </is>
      </c>
      <c r="D210" s="2" t="n">
        <v>25</v>
      </c>
      <c r="E210" s="3">
        <f>INDEX('03_主属性基础'!$F$2:$F$9,MATCH(B210,'03_主属性基础'!$E$2:$E$9,0))</f>
        <v/>
      </c>
      <c r="F210" s="3">
        <f>INDEX('02_品质等级'!$C$2:$C$6,MATCH(C210,'02_品质等级'!$A$2:$A$6,0))</f>
        <v/>
      </c>
      <c r="G210" s="3">
        <f>INDEX('03_主属性基础'!$J$2:$J$13,MATCH(D210,'03_主属性基础'!$I$2:$I$13,0))</f>
        <v/>
      </c>
      <c r="H210" s="3">
        <f>E210*F210*G210</f>
        <v/>
      </c>
    </row>
    <row r="211">
      <c r="A211" s="2" t="inlineStr">
        <is>
          <t>手套</t>
        </is>
      </c>
      <c r="B211" s="3">
        <f>INDEX('03_主属性基础'!$B$2:$B$9,MATCH(A211,'03_主属性基础'!$A$2:$A$9,0))</f>
        <v/>
      </c>
      <c r="C211" s="2" t="inlineStr">
        <is>
          <t>紫</t>
        </is>
      </c>
      <c r="D211" s="2" t="n">
        <v>30</v>
      </c>
      <c r="E211" s="3">
        <f>INDEX('03_主属性基础'!$F$2:$F$9,MATCH(B211,'03_主属性基础'!$E$2:$E$9,0))</f>
        <v/>
      </c>
      <c r="F211" s="3">
        <f>INDEX('02_品质等级'!$C$2:$C$6,MATCH(C211,'02_品质等级'!$A$2:$A$6,0))</f>
        <v/>
      </c>
      <c r="G211" s="3">
        <f>INDEX('03_主属性基础'!$J$2:$J$13,MATCH(D211,'03_主属性基础'!$I$2:$I$13,0))</f>
        <v/>
      </c>
      <c r="H211" s="3">
        <f>E211*F211*G211</f>
        <v/>
      </c>
    </row>
    <row r="212">
      <c r="A212" s="2" t="inlineStr">
        <is>
          <t>手套</t>
        </is>
      </c>
      <c r="B212" s="3">
        <f>INDEX('03_主属性基础'!$B$2:$B$9,MATCH(A212,'03_主属性基础'!$A$2:$A$9,0))</f>
        <v/>
      </c>
      <c r="C212" s="2" t="inlineStr">
        <is>
          <t>紫</t>
        </is>
      </c>
      <c r="D212" s="2" t="n">
        <v>35</v>
      </c>
      <c r="E212" s="3">
        <f>INDEX('03_主属性基础'!$F$2:$F$9,MATCH(B212,'03_主属性基础'!$E$2:$E$9,0))</f>
        <v/>
      </c>
      <c r="F212" s="3">
        <f>INDEX('02_品质等级'!$C$2:$C$6,MATCH(C212,'02_品质等级'!$A$2:$A$6,0))</f>
        <v/>
      </c>
      <c r="G212" s="3">
        <f>INDEX('03_主属性基础'!$J$2:$J$13,MATCH(D212,'03_主属性基础'!$I$2:$I$13,0))</f>
        <v/>
      </c>
      <c r="H212" s="3">
        <f>E212*F212*G212</f>
        <v/>
      </c>
    </row>
    <row r="213">
      <c r="A213" s="2" t="inlineStr">
        <is>
          <t>手套</t>
        </is>
      </c>
      <c r="B213" s="3">
        <f>INDEX('03_主属性基础'!$B$2:$B$9,MATCH(A213,'03_主属性基础'!$A$2:$A$9,0))</f>
        <v/>
      </c>
      <c r="C213" s="2" t="inlineStr">
        <is>
          <t>紫</t>
        </is>
      </c>
      <c r="D213" s="2" t="n">
        <v>40</v>
      </c>
      <c r="E213" s="3">
        <f>INDEX('03_主属性基础'!$F$2:$F$9,MATCH(B213,'03_主属性基础'!$E$2:$E$9,0))</f>
        <v/>
      </c>
      <c r="F213" s="3">
        <f>INDEX('02_品质等级'!$C$2:$C$6,MATCH(C213,'02_品质等级'!$A$2:$A$6,0))</f>
        <v/>
      </c>
      <c r="G213" s="3">
        <f>INDEX('03_主属性基础'!$J$2:$J$13,MATCH(D213,'03_主属性基础'!$I$2:$I$13,0))</f>
        <v/>
      </c>
      <c r="H213" s="3">
        <f>E213*F213*G213</f>
        <v/>
      </c>
    </row>
    <row r="214">
      <c r="A214" s="2" t="inlineStr">
        <is>
          <t>手套</t>
        </is>
      </c>
      <c r="B214" s="3">
        <f>INDEX('03_主属性基础'!$B$2:$B$9,MATCH(A214,'03_主属性基础'!$A$2:$A$9,0))</f>
        <v/>
      </c>
      <c r="C214" s="2" t="inlineStr">
        <is>
          <t>紫</t>
        </is>
      </c>
      <c r="D214" s="2" t="n">
        <v>45</v>
      </c>
      <c r="E214" s="3">
        <f>INDEX('03_主属性基础'!$F$2:$F$9,MATCH(B214,'03_主属性基础'!$E$2:$E$9,0))</f>
        <v/>
      </c>
      <c r="F214" s="3">
        <f>INDEX('02_品质等级'!$C$2:$C$6,MATCH(C214,'02_品质等级'!$A$2:$A$6,0))</f>
        <v/>
      </c>
      <c r="G214" s="3">
        <f>INDEX('03_主属性基础'!$J$2:$J$13,MATCH(D214,'03_主属性基础'!$I$2:$I$13,0))</f>
        <v/>
      </c>
      <c r="H214" s="3">
        <f>E214*F214*G214</f>
        <v/>
      </c>
    </row>
    <row r="215">
      <c r="A215" s="2" t="inlineStr">
        <is>
          <t>手套</t>
        </is>
      </c>
      <c r="B215" s="3">
        <f>INDEX('03_主属性基础'!$B$2:$B$9,MATCH(A215,'03_主属性基础'!$A$2:$A$9,0))</f>
        <v/>
      </c>
      <c r="C215" s="2" t="inlineStr">
        <is>
          <t>紫</t>
        </is>
      </c>
      <c r="D215" s="2" t="n">
        <v>50</v>
      </c>
      <c r="E215" s="3">
        <f>INDEX('03_主属性基础'!$F$2:$F$9,MATCH(B215,'03_主属性基础'!$E$2:$E$9,0))</f>
        <v/>
      </c>
      <c r="F215" s="3">
        <f>INDEX('02_品质等级'!$C$2:$C$6,MATCH(C215,'02_品质等级'!$A$2:$A$6,0))</f>
        <v/>
      </c>
      <c r="G215" s="3">
        <f>INDEX('03_主属性基础'!$J$2:$J$13,MATCH(D215,'03_主属性基础'!$I$2:$I$13,0))</f>
        <v/>
      </c>
      <c r="H215" s="3">
        <f>E215*F215*G215</f>
        <v/>
      </c>
    </row>
    <row r="216">
      <c r="A216" s="2" t="inlineStr">
        <is>
          <t>手套</t>
        </is>
      </c>
      <c r="B216" s="3">
        <f>INDEX('03_主属性基础'!$B$2:$B$9,MATCH(A216,'03_主属性基础'!$A$2:$A$9,0))</f>
        <v/>
      </c>
      <c r="C216" s="2" t="inlineStr">
        <is>
          <t>紫</t>
        </is>
      </c>
      <c r="D216" s="2" t="n">
        <v>55</v>
      </c>
      <c r="E216" s="3">
        <f>INDEX('03_主属性基础'!$F$2:$F$9,MATCH(B216,'03_主属性基础'!$E$2:$E$9,0))</f>
        <v/>
      </c>
      <c r="F216" s="3">
        <f>INDEX('02_品质等级'!$C$2:$C$6,MATCH(C216,'02_品质等级'!$A$2:$A$6,0))</f>
        <v/>
      </c>
      <c r="G216" s="3">
        <f>INDEX('03_主属性基础'!$J$2:$J$13,MATCH(D216,'03_主属性基础'!$I$2:$I$13,0))</f>
        <v/>
      </c>
      <c r="H216" s="3">
        <f>E216*F216*G216</f>
        <v/>
      </c>
    </row>
    <row r="217">
      <c r="A217" s="2" t="inlineStr">
        <is>
          <t>手套</t>
        </is>
      </c>
      <c r="B217" s="3">
        <f>INDEX('03_主属性基础'!$B$2:$B$9,MATCH(A217,'03_主属性基础'!$A$2:$A$9,0))</f>
        <v/>
      </c>
      <c r="C217" s="2" t="inlineStr">
        <is>
          <t>紫</t>
        </is>
      </c>
      <c r="D217" s="2" t="n">
        <v>60</v>
      </c>
      <c r="E217" s="3">
        <f>INDEX('03_主属性基础'!$F$2:$F$9,MATCH(B217,'03_主属性基础'!$E$2:$E$9,0))</f>
        <v/>
      </c>
      <c r="F217" s="3">
        <f>INDEX('02_品质等级'!$C$2:$C$6,MATCH(C217,'02_品质等级'!$A$2:$A$6,0))</f>
        <v/>
      </c>
      <c r="G217" s="3">
        <f>INDEX('03_主属性基础'!$J$2:$J$13,MATCH(D217,'03_主属性基础'!$I$2:$I$13,0))</f>
        <v/>
      </c>
      <c r="H217" s="3">
        <f>E217*F217*G217</f>
        <v/>
      </c>
    </row>
    <row r="218">
      <c r="A218" s="2" t="inlineStr">
        <is>
          <t>手套</t>
        </is>
      </c>
      <c r="B218" s="3">
        <f>INDEX('03_主属性基础'!$B$2:$B$9,MATCH(A218,'03_主属性基础'!$A$2:$A$9,0))</f>
        <v/>
      </c>
      <c r="C218" s="2" t="inlineStr">
        <is>
          <t>金</t>
        </is>
      </c>
      <c r="D218" s="2" t="n">
        <v>5</v>
      </c>
      <c r="E218" s="3">
        <f>INDEX('03_主属性基础'!$F$2:$F$9,MATCH(B218,'03_主属性基础'!$E$2:$E$9,0))</f>
        <v/>
      </c>
      <c r="F218" s="3">
        <f>INDEX('02_品质等级'!$C$2:$C$6,MATCH(C218,'02_品质等级'!$A$2:$A$6,0))</f>
        <v/>
      </c>
      <c r="G218" s="3">
        <f>INDEX('03_主属性基础'!$J$2:$J$13,MATCH(D218,'03_主属性基础'!$I$2:$I$13,0))</f>
        <v/>
      </c>
      <c r="H218" s="3">
        <f>E218*F218*G218</f>
        <v/>
      </c>
    </row>
    <row r="219">
      <c r="A219" s="2" t="inlineStr">
        <is>
          <t>手套</t>
        </is>
      </c>
      <c r="B219" s="3">
        <f>INDEX('03_主属性基础'!$B$2:$B$9,MATCH(A219,'03_主属性基础'!$A$2:$A$9,0))</f>
        <v/>
      </c>
      <c r="C219" s="2" t="inlineStr">
        <is>
          <t>金</t>
        </is>
      </c>
      <c r="D219" s="2" t="n">
        <v>10</v>
      </c>
      <c r="E219" s="3">
        <f>INDEX('03_主属性基础'!$F$2:$F$9,MATCH(B219,'03_主属性基础'!$E$2:$E$9,0))</f>
        <v/>
      </c>
      <c r="F219" s="3">
        <f>INDEX('02_品质等级'!$C$2:$C$6,MATCH(C219,'02_品质等级'!$A$2:$A$6,0))</f>
        <v/>
      </c>
      <c r="G219" s="3">
        <f>INDEX('03_主属性基础'!$J$2:$J$13,MATCH(D219,'03_主属性基础'!$I$2:$I$13,0))</f>
        <v/>
      </c>
      <c r="H219" s="3">
        <f>E219*F219*G219</f>
        <v/>
      </c>
    </row>
    <row r="220">
      <c r="A220" s="2" t="inlineStr">
        <is>
          <t>手套</t>
        </is>
      </c>
      <c r="B220" s="3">
        <f>INDEX('03_主属性基础'!$B$2:$B$9,MATCH(A220,'03_主属性基础'!$A$2:$A$9,0))</f>
        <v/>
      </c>
      <c r="C220" s="2" t="inlineStr">
        <is>
          <t>金</t>
        </is>
      </c>
      <c r="D220" s="2" t="n">
        <v>15</v>
      </c>
      <c r="E220" s="3">
        <f>INDEX('03_主属性基础'!$F$2:$F$9,MATCH(B220,'03_主属性基础'!$E$2:$E$9,0))</f>
        <v/>
      </c>
      <c r="F220" s="3">
        <f>INDEX('02_品质等级'!$C$2:$C$6,MATCH(C220,'02_品质等级'!$A$2:$A$6,0))</f>
        <v/>
      </c>
      <c r="G220" s="3">
        <f>INDEX('03_主属性基础'!$J$2:$J$13,MATCH(D220,'03_主属性基础'!$I$2:$I$13,0))</f>
        <v/>
      </c>
      <c r="H220" s="3">
        <f>E220*F220*G220</f>
        <v/>
      </c>
    </row>
    <row r="221">
      <c r="A221" s="2" t="inlineStr">
        <is>
          <t>手套</t>
        </is>
      </c>
      <c r="B221" s="3">
        <f>INDEX('03_主属性基础'!$B$2:$B$9,MATCH(A221,'03_主属性基础'!$A$2:$A$9,0))</f>
        <v/>
      </c>
      <c r="C221" s="2" t="inlineStr">
        <is>
          <t>金</t>
        </is>
      </c>
      <c r="D221" s="2" t="n">
        <v>20</v>
      </c>
      <c r="E221" s="3">
        <f>INDEX('03_主属性基础'!$F$2:$F$9,MATCH(B221,'03_主属性基础'!$E$2:$E$9,0))</f>
        <v/>
      </c>
      <c r="F221" s="3">
        <f>INDEX('02_品质等级'!$C$2:$C$6,MATCH(C221,'02_品质等级'!$A$2:$A$6,0))</f>
        <v/>
      </c>
      <c r="G221" s="3">
        <f>INDEX('03_主属性基础'!$J$2:$J$13,MATCH(D221,'03_主属性基础'!$I$2:$I$13,0))</f>
        <v/>
      </c>
      <c r="H221" s="3">
        <f>E221*F221*G221</f>
        <v/>
      </c>
    </row>
    <row r="222">
      <c r="A222" s="2" t="inlineStr">
        <is>
          <t>手套</t>
        </is>
      </c>
      <c r="B222" s="3">
        <f>INDEX('03_主属性基础'!$B$2:$B$9,MATCH(A222,'03_主属性基础'!$A$2:$A$9,0))</f>
        <v/>
      </c>
      <c r="C222" s="2" t="inlineStr">
        <is>
          <t>金</t>
        </is>
      </c>
      <c r="D222" s="2" t="n">
        <v>25</v>
      </c>
      <c r="E222" s="3">
        <f>INDEX('03_主属性基础'!$F$2:$F$9,MATCH(B222,'03_主属性基础'!$E$2:$E$9,0))</f>
        <v/>
      </c>
      <c r="F222" s="3">
        <f>INDEX('02_品质等级'!$C$2:$C$6,MATCH(C222,'02_品质等级'!$A$2:$A$6,0))</f>
        <v/>
      </c>
      <c r="G222" s="3">
        <f>INDEX('03_主属性基础'!$J$2:$J$13,MATCH(D222,'03_主属性基础'!$I$2:$I$13,0))</f>
        <v/>
      </c>
      <c r="H222" s="3">
        <f>E222*F222*G222</f>
        <v/>
      </c>
    </row>
    <row r="223">
      <c r="A223" s="2" t="inlineStr">
        <is>
          <t>手套</t>
        </is>
      </c>
      <c r="B223" s="3">
        <f>INDEX('03_主属性基础'!$B$2:$B$9,MATCH(A223,'03_主属性基础'!$A$2:$A$9,0))</f>
        <v/>
      </c>
      <c r="C223" s="2" t="inlineStr">
        <is>
          <t>金</t>
        </is>
      </c>
      <c r="D223" s="2" t="n">
        <v>30</v>
      </c>
      <c r="E223" s="3">
        <f>INDEX('03_主属性基础'!$F$2:$F$9,MATCH(B223,'03_主属性基础'!$E$2:$E$9,0))</f>
        <v/>
      </c>
      <c r="F223" s="3">
        <f>INDEX('02_品质等级'!$C$2:$C$6,MATCH(C223,'02_品质等级'!$A$2:$A$6,0))</f>
        <v/>
      </c>
      <c r="G223" s="3">
        <f>INDEX('03_主属性基础'!$J$2:$J$13,MATCH(D223,'03_主属性基础'!$I$2:$I$13,0))</f>
        <v/>
      </c>
      <c r="H223" s="3">
        <f>E223*F223*G223</f>
        <v/>
      </c>
    </row>
    <row r="224">
      <c r="A224" s="2" t="inlineStr">
        <is>
          <t>手套</t>
        </is>
      </c>
      <c r="B224" s="3">
        <f>INDEX('03_主属性基础'!$B$2:$B$9,MATCH(A224,'03_主属性基础'!$A$2:$A$9,0))</f>
        <v/>
      </c>
      <c r="C224" s="2" t="inlineStr">
        <is>
          <t>金</t>
        </is>
      </c>
      <c r="D224" s="2" t="n">
        <v>35</v>
      </c>
      <c r="E224" s="3">
        <f>INDEX('03_主属性基础'!$F$2:$F$9,MATCH(B224,'03_主属性基础'!$E$2:$E$9,0))</f>
        <v/>
      </c>
      <c r="F224" s="3">
        <f>INDEX('02_品质等级'!$C$2:$C$6,MATCH(C224,'02_品质等级'!$A$2:$A$6,0))</f>
        <v/>
      </c>
      <c r="G224" s="3">
        <f>INDEX('03_主属性基础'!$J$2:$J$13,MATCH(D224,'03_主属性基础'!$I$2:$I$13,0))</f>
        <v/>
      </c>
      <c r="H224" s="3">
        <f>E224*F224*G224</f>
        <v/>
      </c>
    </row>
    <row r="225">
      <c r="A225" s="2" t="inlineStr">
        <is>
          <t>手套</t>
        </is>
      </c>
      <c r="B225" s="3">
        <f>INDEX('03_主属性基础'!$B$2:$B$9,MATCH(A225,'03_主属性基础'!$A$2:$A$9,0))</f>
        <v/>
      </c>
      <c r="C225" s="2" t="inlineStr">
        <is>
          <t>金</t>
        </is>
      </c>
      <c r="D225" s="2" t="n">
        <v>40</v>
      </c>
      <c r="E225" s="3">
        <f>INDEX('03_主属性基础'!$F$2:$F$9,MATCH(B225,'03_主属性基础'!$E$2:$E$9,0))</f>
        <v/>
      </c>
      <c r="F225" s="3">
        <f>INDEX('02_品质等级'!$C$2:$C$6,MATCH(C225,'02_品质等级'!$A$2:$A$6,0))</f>
        <v/>
      </c>
      <c r="G225" s="3">
        <f>INDEX('03_主属性基础'!$J$2:$J$13,MATCH(D225,'03_主属性基础'!$I$2:$I$13,0))</f>
        <v/>
      </c>
      <c r="H225" s="3">
        <f>E225*F225*G225</f>
        <v/>
      </c>
    </row>
    <row r="226">
      <c r="A226" s="2" t="inlineStr">
        <is>
          <t>手套</t>
        </is>
      </c>
      <c r="B226" s="3">
        <f>INDEX('03_主属性基础'!$B$2:$B$9,MATCH(A226,'03_主属性基础'!$A$2:$A$9,0))</f>
        <v/>
      </c>
      <c r="C226" s="2" t="inlineStr">
        <is>
          <t>金</t>
        </is>
      </c>
      <c r="D226" s="2" t="n">
        <v>45</v>
      </c>
      <c r="E226" s="3">
        <f>INDEX('03_主属性基础'!$F$2:$F$9,MATCH(B226,'03_主属性基础'!$E$2:$E$9,0))</f>
        <v/>
      </c>
      <c r="F226" s="3">
        <f>INDEX('02_品质等级'!$C$2:$C$6,MATCH(C226,'02_品质等级'!$A$2:$A$6,0))</f>
        <v/>
      </c>
      <c r="G226" s="3">
        <f>INDEX('03_主属性基础'!$J$2:$J$13,MATCH(D226,'03_主属性基础'!$I$2:$I$13,0))</f>
        <v/>
      </c>
      <c r="H226" s="3">
        <f>E226*F226*G226</f>
        <v/>
      </c>
    </row>
    <row r="227">
      <c r="A227" s="2" t="inlineStr">
        <is>
          <t>手套</t>
        </is>
      </c>
      <c r="B227" s="3">
        <f>INDEX('03_主属性基础'!$B$2:$B$9,MATCH(A227,'03_主属性基础'!$A$2:$A$9,0))</f>
        <v/>
      </c>
      <c r="C227" s="2" t="inlineStr">
        <is>
          <t>金</t>
        </is>
      </c>
      <c r="D227" s="2" t="n">
        <v>50</v>
      </c>
      <c r="E227" s="3">
        <f>INDEX('03_主属性基础'!$F$2:$F$9,MATCH(B227,'03_主属性基础'!$E$2:$E$9,0))</f>
        <v/>
      </c>
      <c r="F227" s="3">
        <f>INDEX('02_品质等级'!$C$2:$C$6,MATCH(C227,'02_品质等级'!$A$2:$A$6,0))</f>
        <v/>
      </c>
      <c r="G227" s="3">
        <f>INDEX('03_主属性基础'!$J$2:$J$13,MATCH(D227,'03_主属性基础'!$I$2:$I$13,0))</f>
        <v/>
      </c>
      <c r="H227" s="3">
        <f>E227*F227*G227</f>
        <v/>
      </c>
    </row>
    <row r="228">
      <c r="A228" s="2" t="inlineStr">
        <is>
          <t>手套</t>
        </is>
      </c>
      <c r="B228" s="3">
        <f>INDEX('03_主属性基础'!$B$2:$B$9,MATCH(A228,'03_主属性基础'!$A$2:$A$9,0))</f>
        <v/>
      </c>
      <c r="C228" s="2" t="inlineStr">
        <is>
          <t>金</t>
        </is>
      </c>
      <c r="D228" s="2" t="n">
        <v>55</v>
      </c>
      <c r="E228" s="3">
        <f>INDEX('03_主属性基础'!$F$2:$F$9,MATCH(B228,'03_主属性基础'!$E$2:$E$9,0))</f>
        <v/>
      </c>
      <c r="F228" s="3">
        <f>INDEX('02_品质等级'!$C$2:$C$6,MATCH(C228,'02_品质等级'!$A$2:$A$6,0))</f>
        <v/>
      </c>
      <c r="G228" s="3">
        <f>INDEX('03_主属性基础'!$J$2:$J$13,MATCH(D228,'03_主属性基础'!$I$2:$I$13,0))</f>
        <v/>
      </c>
      <c r="H228" s="3">
        <f>E228*F228*G228</f>
        <v/>
      </c>
    </row>
    <row r="229">
      <c r="A229" s="2" t="inlineStr">
        <is>
          <t>手套</t>
        </is>
      </c>
      <c r="B229" s="3">
        <f>INDEX('03_主属性基础'!$B$2:$B$9,MATCH(A229,'03_主属性基础'!$A$2:$A$9,0))</f>
        <v/>
      </c>
      <c r="C229" s="2" t="inlineStr">
        <is>
          <t>金</t>
        </is>
      </c>
      <c r="D229" s="2" t="n">
        <v>60</v>
      </c>
      <c r="E229" s="3">
        <f>INDEX('03_主属性基础'!$F$2:$F$9,MATCH(B229,'03_主属性基础'!$E$2:$E$9,0))</f>
        <v/>
      </c>
      <c r="F229" s="3">
        <f>INDEX('02_品质等级'!$C$2:$C$6,MATCH(C229,'02_品质等级'!$A$2:$A$6,0))</f>
        <v/>
      </c>
      <c r="G229" s="3">
        <f>INDEX('03_主属性基础'!$J$2:$J$13,MATCH(D229,'03_主属性基础'!$I$2:$I$13,0))</f>
        <v/>
      </c>
      <c r="H229" s="3">
        <f>E229*F229*G229</f>
        <v/>
      </c>
    </row>
    <row r="230">
      <c r="A230" s="2" t="inlineStr">
        <is>
          <t>手套</t>
        </is>
      </c>
      <c r="B230" s="3">
        <f>INDEX('03_主属性基础'!$B$2:$B$9,MATCH(A230,'03_主属性基础'!$A$2:$A$9,0))</f>
        <v/>
      </c>
      <c r="C230" s="2" t="inlineStr">
        <is>
          <t>红</t>
        </is>
      </c>
      <c r="D230" s="2" t="n">
        <v>5</v>
      </c>
      <c r="E230" s="3">
        <f>INDEX('03_主属性基础'!$F$2:$F$9,MATCH(B230,'03_主属性基础'!$E$2:$E$9,0))</f>
        <v/>
      </c>
      <c r="F230" s="3">
        <f>INDEX('02_品质等级'!$C$2:$C$6,MATCH(C230,'02_品质等级'!$A$2:$A$6,0))</f>
        <v/>
      </c>
      <c r="G230" s="3">
        <f>INDEX('03_主属性基础'!$J$2:$J$13,MATCH(D230,'03_主属性基础'!$I$2:$I$13,0))</f>
        <v/>
      </c>
      <c r="H230" s="3">
        <f>E230*F230*G230</f>
        <v/>
      </c>
    </row>
    <row r="231">
      <c r="A231" s="2" t="inlineStr">
        <is>
          <t>手套</t>
        </is>
      </c>
      <c r="B231" s="3">
        <f>INDEX('03_主属性基础'!$B$2:$B$9,MATCH(A231,'03_主属性基础'!$A$2:$A$9,0))</f>
        <v/>
      </c>
      <c r="C231" s="2" t="inlineStr">
        <is>
          <t>红</t>
        </is>
      </c>
      <c r="D231" s="2" t="n">
        <v>10</v>
      </c>
      <c r="E231" s="3">
        <f>INDEX('03_主属性基础'!$F$2:$F$9,MATCH(B231,'03_主属性基础'!$E$2:$E$9,0))</f>
        <v/>
      </c>
      <c r="F231" s="3">
        <f>INDEX('02_品质等级'!$C$2:$C$6,MATCH(C231,'02_品质等级'!$A$2:$A$6,0))</f>
        <v/>
      </c>
      <c r="G231" s="3">
        <f>INDEX('03_主属性基础'!$J$2:$J$13,MATCH(D231,'03_主属性基础'!$I$2:$I$13,0))</f>
        <v/>
      </c>
      <c r="H231" s="3">
        <f>E231*F231*G231</f>
        <v/>
      </c>
    </row>
    <row r="232">
      <c r="A232" s="2" t="inlineStr">
        <is>
          <t>手套</t>
        </is>
      </c>
      <c r="B232" s="3">
        <f>INDEX('03_主属性基础'!$B$2:$B$9,MATCH(A232,'03_主属性基础'!$A$2:$A$9,0))</f>
        <v/>
      </c>
      <c r="C232" s="2" t="inlineStr">
        <is>
          <t>红</t>
        </is>
      </c>
      <c r="D232" s="2" t="n">
        <v>15</v>
      </c>
      <c r="E232" s="3">
        <f>INDEX('03_主属性基础'!$F$2:$F$9,MATCH(B232,'03_主属性基础'!$E$2:$E$9,0))</f>
        <v/>
      </c>
      <c r="F232" s="3">
        <f>INDEX('02_品质等级'!$C$2:$C$6,MATCH(C232,'02_品质等级'!$A$2:$A$6,0))</f>
        <v/>
      </c>
      <c r="G232" s="3">
        <f>INDEX('03_主属性基础'!$J$2:$J$13,MATCH(D232,'03_主属性基础'!$I$2:$I$13,0))</f>
        <v/>
      </c>
      <c r="H232" s="3">
        <f>E232*F232*G232</f>
        <v/>
      </c>
    </row>
    <row r="233">
      <c r="A233" s="2" t="inlineStr">
        <is>
          <t>手套</t>
        </is>
      </c>
      <c r="B233" s="3">
        <f>INDEX('03_主属性基础'!$B$2:$B$9,MATCH(A233,'03_主属性基础'!$A$2:$A$9,0))</f>
        <v/>
      </c>
      <c r="C233" s="2" t="inlineStr">
        <is>
          <t>红</t>
        </is>
      </c>
      <c r="D233" s="2" t="n">
        <v>20</v>
      </c>
      <c r="E233" s="3">
        <f>INDEX('03_主属性基础'!$F$2:$F$9,MATCH(B233,'03_主属性基础'!$E$2:$E$9,0))</f>
        <v/>
      </c>
      <c r="F233" s="3">
        <f>INDEX('02_品质等级'!$C$2:$C$6,MATCH(C233,'02_品质等级'!$A$2:$A$6,0))</f>
        <v/>
      </c>
      <c r="G233" s="3">
        <f>INDEX('03_主属性基础'!$J$2:$J$13,MATCH(D233,'03_主属性基础'!$I$2:$I$13,0))</f>
        <v/>
      </c>
      <c r="H233" s="3">
        <f>E233*F233*G233</f>
        <v/>
      </c>
    </row>
    <row r="234">
      <c r="A234" s="2" t="inlineStr">
        <is>
          <t>手套</t>
        </is>
      </c>
      <c r="B234" s="3">
        <f>INDEX('03_主属性基础'!$B$2:$B$9,MATCH(A234,'03_主属性基础'!$A$2:$A$9,0))</f>
        <v/>
      </c>
      <c r="C234" s="2" t="inlineStr">
        <is>
          <t>红</t>
        </is>
      </c>
      <c r="D234" s="2" t="n">
        <v>25</v>
      </c>
      <c r="E234" s="3">
        <f>INDEX('03_主属性基础'!$F$2:$F$9,MATCH(B234,'03_主属性基础'!$E$2:$E$9,0))</f>
        <v/>
      </c>
      <c r="F234" s="3">
        <f>INDEX('02_品质等级'!$C$2:$C$6,MATCH(C234,'02_品质等级'!$A$2:$A$6,0))</f>
        <v/>
      </c>
      <c r="G234" s="3">
        <f>INDEX('03_主属性基础'!$J$2:$J$13,MATCH(D234,'03_主属性基础'!$I$2:$I$13,0))</f>
        <v/>
      </c>
      <c r="H234" s="3">
        <f>E234*F234*G234</f>
        <v/>
      </c>
    </row>
    <row r="235">
      <c r="A235" s="2" t="inlineStr">
        <is>
          <t>手套</t>
        </is>
      </c>
      <c r="B235" s="3">
        <f>INDEX('03_主属性基础'!$B$2:$B$9,MATCH(A235,'03_主属性基础'!$A$2:$A$9,0))</f>
        <v/>
      </c>
      <c r="C235" s="2" t="inlineStr">
        <is>
          <t>红</t>
        </is>
      </c>
      <c r="D235" s="2" t="n">
        <v>30</v>
      </c>
      <c r="E235" s="3">
        <f>INDEX('03_主属性基础'!$F$2:$F$9,MATCH(B235,'03_主属性基础'!$E$2:$E$9,0))</f>
        <v/>
      </c>
      <c r="F235" s="3">
        <f>INDEX('02_品质等级'!$C$2:$C$6,MATCH(C235,'02_品质等级'!$A$2:$A$6,0))</f>
        <v/>
      </c>
      <c r="G235" s="3">
        <f>INDEX('03_主属性基础'!$J$2:$J$13,MATCH(D235,'03_主属性基础'!$I$2:$I$13,0))</f>
        <v/>
      </c>
      <c r="H235" s="3">
        <f>E235*F235*G235</f>
        <v/>
      </c>
    </row>
    <row r="236">
      <c r="A236" s="2" t="inlineStr">
        <is>
          <t>手套</t>
        </is>
      </c>
      <c r="B236" s="3">
        <f>INDEX('03_主属性基础'!$B$2:$B$9,MATCH(A236,'03_主属性基础'!$A$2:$A$9,0))</f>
        <v/>
      </c>
      <c r="C236" s="2" t="inlineStr">
        <is>
          <t>红</t>
        </is>
      </c>
      <c r="D236" s="2" t="n">
        <v>35</v>
      </c>
      <c r="E236" s="3">
        <f>INDEX('03_主属性基础'!$F$2:$F$9,MATCH(B236,'03_主属性基础'!$E$2:$E$9,0))</f>
        <v/>
      </c>
      <c r="F236" s="3">
        <f>INDEX('02_品质等级'!$C$2:$C$6,MATCH(C236,'02_品质等级'!$A$2:$A$6,0))</f>
        <v/>
      </c>
      <c r="G236" s="3">
        <f>INDEX('03_主属性基础'!$J$2:$J$13,MATCH(D236,'03_主属性基础'!$I$2:$I$13,0))</f>
        <v/>
      </c>
      <c r="H236" s="3">
        <f>E236*F236*G236</f>
        <v/>
      </c>
    </row>
    <row r="237">
      <c r="A237" s="2" t="inlineStr">
        <is>
          <t>手套</t>
        </is>
      </c>
      <c r="B237" s="3">
        <f>INDEX('03_主属性基础'!$B$2:$B$9,MATCH(A237,'03_主属性基础'!$A$2:$A$9,0))</f>
        <v/>
      </c>
      <c r="C237" s="2" t="inlineStr">
        <is>
          <t>红</t>
        </is>
      </c>
      <c r="D237" s="2" t="n">
        <v>40</v>
      </c>
      <c r="E237" s="3">
        <f>INDEX('03_主属性基础'!$F$2:$F$9,MATCH(B237,'03_主属性基础'!$E$2:$E$9,0))</f>
        <v/>
      </c>
      <c r="F237" s="3">
        <f>INDEX('02_品质等级'!$C$2:$C$6,MATCH(C237,'02_品质等级'!$A$2:$A$6,0))</f>
        <v/>
      </c>
      <c r="G237" s="3">
        <f>INDEX('03_主属性基础'!$J$2:$J$13,MATCH(D237,'03_主属性基础'!$I$2:$I$13,0))</f>
        <v/>
      </c>
      <c r="H237" s="3">
        <f>E237*F237*G237</f>
        <v/>
      </c>
    </row>
    <row r="238">
      <c r="A238" s="2" t="inlineStr">
        <is>
          <t>手套</t>
        </is>
      </c>
      <c r="B238" s="3">
        <f>INDEX('03_主属性基础'!$B$2:$B$9,MATCH(A238,'03_主属性基础'!$A$2:$A$9,0))</f>
        <v/>
      </c>
      <c r="C238" s="2" t="inlineStr">
        <is>
          <t>红</t>
        </is>
      </c>
      <c r="D238" s="2" t="n">
        <v>45</v>
      </c>
      <c r="E238" s="3">
        <f>INDEX('03_主属性基础'!$F$2:$F$9,MATCH(B238,'03_主属性基础'!$E$2:$E$9,0))</f>
        <v/>
      </c>
      <c r="F238" s="3">
        <f>INDEX('02_品质等级'!$C$2:$C$6,MATCH(C238,'02_品质等级'!$A$2:$A$6,0))</f>
        <v/>
      </c>
      <c r="G238" s="3">
        <f>INDEX('03_主属性基础'!$J$2:$J$13,MATCH(D238,'03_主属性基础'!$I$2:$I$13,0))</f>
        <v/>
      </c>
      <c r="H238" s="3">
        <f>E238*F238*G238</f>
        <v/>
      </c>
    </row>
    <row r="239">
      <c r="A239" s="2" t="inlineStr">
        <is>
          <t>手套</t>
        </is>
      </c>
      <c r="B239" s="3">
        <f>INDEX('03_主属性基础'!$B$2:$B$9,MATCH(A239,'03_主属性基础'!$A$2:$A$9,0))</f>
        <v/>
      </c>
      <c r="C239" s="2" t="inlineStr">
        <is>
          <t>红</t>
        </is>
      </c>
      <c r="D239" s="2" t="n">
        <v>50</v>
      </c>
      <c r="E239" s="3">
        <f>INDEX('03_主属性基础'!$F$2:$F$9,MATCH(B239,'03_主属性基础'!$E$2:$E$9,0))</f>
        <v/>
      </c>
      <c r="F239" s="3">
        <f>INDEX('02_品质等级'!$C$2:$C$6,MATCH(C239,'02_品质等级'!$A$2:$A$6,0))</f>
        <v/>
      </c>
      <c r="G239" s="3">
        <f>INDEX('03_主属性基础'!$J$2:$J$13,MATCH(D239,'03_主属性基础'!$I$2:$I$13,0))</f>
        <v/>
      </c>
      <c r="H239" s="3">
        <f>E239*F239*G239</f>
        <v/>
      </c>
    </row>
    <row r="240">
      <c r="A240" s="2" t="inlineStr">
        <is>
          <t>手套</t>
        </is>
      </c>
      <c r="B240" s="3">
        <f>INDEX('03_主属性基础'!$B$2:$B$9,MATCH(A240,'03_主属性基础'!$A$2:$A$9,0))</f>
        <v/>
      </c>
      <c r="C240" s="2" t="inlineStr">
        <is>
          <t>红</t>
        </is>
      </c>
      <c r="D240" s="2" t="n">
        <v>55</v>
      </c>
      <c r="E240" s="3">
        <f>INDEX('03_主属性基础'!$F$2:$F$9,MATCH(B240,'03_主属性基础'!$E$2:$E$9,0))</f>
        <v/>
      </c>
      <c r="F240" s="3">
        <f>INDEX('02_品质等级'!$C$2:$C$6,MATCH(C240,'02_品质等级'!$A$2:$A$6,0))</f>
        <v/>
      </c>
      <c r="G240" s="3">
        <f>INDEX('03_主属性基础'!$J$2:$J$13,MATCH(D240,'03_主属性基础'!$I$2:$I$13,0))</f>
        <v/>
      </c>
      <c r="H240" s="3">
        <f>E240*F240*G240</f>
        <v/>
      </c>
    </row>
    <row r="241">
      <c r="A241" s="2" t="inlineStr">
        <is>
          <t>手套</t>
        </is>
      </c>
      <c r="B241" s="3">
        <f>INDEX('03_主属性基础'!$B$2:$B$9,MATCH(A241,'03_主属性基础'!$A$2:$A$9,0))</f>
        <v/>
      </c>
      <c r="C241" s="2" t="inlineStr">
        <is>
          <t>红</t>
        </is>
      </c>
      <c r="D241" s="2" t="n">
        <v>60</v>
      </c>
      <c r="E241" s="3">
        <f>INDEX('03_主属性基础'!$F$2:$F$9,MATCH(B241,'03_主属性基础'!$E$2:$E$9,0))</f>
        <v/>
      </c>
      <c r="F241" s="3">
        <f>INDEX('02_品质等级'!$C$2:$C$6,MATCH(C241,'02_品质等级'!$A$2:$A$6,0))</f>
        <v/>
      </c>
      <c r="G241" s="3">
        <f>INDEX('03_主属性基础'!$J$2:$J$13,MATCH(D241,'03_主属性基础'!$I$2:$I$13,0))</f>
        <v/>
      </c>
      <c r="H241" s="3">
        <f>E241*F241*G241</f>
        <v/>
      </c>
    </row>
    <row r="242">
      <c r="A242" s="2" t="inlineStr">
        <is>
          <t>腰带</t>
        </is>
      </c>
      <c r="B242" s="3">
        <f>INDEX('03_主属性基础'!$B$2:$B$9,MATCH(A242,'03_主属性基础'!$A$2:$A$9,0))</f>
        <v/>
      </c>
      <c r="C242" s="2" t="inlineStr">
        <is>
          <t>绿</t>
        </is>
      </c>
      <c r="D242" s="2" t="n">
        <v>5</v>
      </c>
      <c r="E242" s="3">
        <f>INDEX('03_主属性基础'!$F$2:$F$9,MATCH(B242,'03_主属性基础'!$E$2:$E$9,0))</f>
        <v/>
      </c>
      <c r="F242" s="3">
        <f>INDEX('02_品质等级'!$C$2:$C$6,MATCH(C242,'02_品质等级'!$A$2:$A$6,0))</f>
        <v/>
      </c>
      <c r="G242" s="3">
        <f>INDEX('03_主属性基础'!$J$2:$J$13,MATCH(D242,'03_主属性基础'!$I$2:$I$13,0))</f>
        <v/>
      </c>
      <c r="H242" s="3">
        <f>E242*F242*G242</f>
        <v/>
      </c>
    </row>
    <row r="243">
      <c r="A243" s="2" t="inlineStr">
        <is>
          <t>腰带</t>
        </is>
      </c>
      <c r="B243" s="3">
        <f>INDEX('03_主属性基础'!$B$2:$B$9,MATCH(A243,'03_主属性基础'!$A$2:$A$9,0))</f>
        <v/>
      </c>
      <c r="C243" s="2" t="inlineStr">
        <is>
          <t>绿</t>
        </is>
      </c>
      <c r="D243" s="2" t="n">
        <v>10</v>
      </c>
      <c r="E243" s="3">
        <f>INDEX('03_主属性基础'!$F$2:$F$9,MATCH(B243,'03_主属性基础'!$E$2:$E$9,0))</f>
        <v/>
      </c>
      <c r="F243" s="3">
        <f>INDEX('02_品质等级'!$C$2:$C$6,MATCH(C243,'02_品质等级'!$A$2:$A$6,0))</f>
        <v/>
      </c>
      <c r="G243" s="3">
        <f>INDEX('03_主属性基础'!$J$2:$J$13,MATCH(D243,'03_主属性基础'!$I$2:$I$13,0))</f>
        <v/>
      </c>
      <c r="H243" s="3">
        <f>E243*F243*G243</f>
        <v/>
      </c>
    </row>
    <row r="244">
      <c r="A244" s="2" t="inlineStr">
        <is>
          <t>腰带</t>
        </is>
      </c>
      <c r="B244" s="3">
        <f>INDEX('03_主属性基础'!$B$2:$B$9,MATCH(A244,'03_主属性基础'!$A$2:$A$9,0))</f>
        <v/>
      </c>
      <c r="C244" s="2" t="inlineStr">
        <is>
          <t>绿</t>
        </is>
      </c>
      <c r="D244" s="2" t="n">
        <v>15</v>
      </c>
      <c r="E244" s="3">
        <f>INDEX('03_主属性基础'!$F$2:$F$9,MATCH(B244,'03_主属性基础'!$E$2:$E$9,0))</f>
        <v/>
      </c>
      <c r="F244" s="3">
        <f>INDEX('02_品质等级'!$C$2:$C$6,MATCH(C244,'02_品质等级'!$A$2:$A$6,0))</f>
        <v/>
      </c>
      <c r="G244" s="3">
        <f>INDEX('03_主属性基础'!$J$2:$J$13,MATCH(D244,'03_主属性基础'!$I$2:$I$13,0))</f>
        <v/>
      </c>
      <c r="H244" s="3">
        <f>E244*F244*G244</f>
        <v/>
      </c>
    </row>
    <row r="245">
      <c r="A245" s="2" t="inlineStr">
        <is>
          <t>腰带</t>
        </is>
      </c>
      <c r="B245" s="3">
        <f>INDEX('03_主属性基础'!$B$2:$B$9,MATCH(A245,'03_主属性基础'!$A$2:$A$9,0))</f>
        <v/>
      </c>
      <c r="C245" s="2" t="inlineStr">
        <is>
          <t>绿</t>
        </is>
      </c>
      <c r="D245" s="2" t="n">
        <v>20</v>
      </c>
      <c r="E245" s="3">
        <f>INDEX('03_主属性基础'!$F$2:$F$9,MATCH(B245,'03_主属性基础'!$E$2:$E$9,0))</f>
        <v/>
      </c>
      <c r="F245" s="3">
        <f>INDEX('02_品质等级'!$C$2:$C$6,MATCH(C245,'02_品质等级'!$A$2:$A$6,0))</f>
        <v/>
      </c>
      <c r="G245" s="3">
        <f>INDEX('03_主属性基础'!$J$2:$J$13,MATCH(D245,'03_主属性基础'!$I$2:$I$13,0))</f>
        <v/>
      </c>
      <c r="H245" s="3">
        <f>E245*F245*G245</f>
        <v/>
      </c>
    </row>
    <row r="246">
      <c r="A246" s="2" t="inlineStr">
        <is>
          <t>腰带</t>
        </is>
      </c>
      <c r="B246" s="3">
        <f>INDEX('03_主属性基础'!$B$2:$B$9,MATCH(A246,'03_主属性基础'!$A$2:$A$9,0))</f>
        <v/>
      </c>
      <c r="C246" s="2" t="inlineStr">
        <is>
          <t>绿</t>
        </is>
      </c>
      <c r="D246" s="2" t="n">
        <v>25</v>
      </c>
      <c r="E246" s="3">
        <f>INDEX('03_主属性基础'!$F$2:$F$9,MATCH(B246,'03_主属性基础'!$E$2:$E$9,0))</f>
        <v/>
      </c>
      <c r="F246" s="3">
        <f>INDEX('02_品质等级'!$C$2:$C$6,MATCH(C246,'02_品质等级'!$A$2:$A$6,0))</f>
        <v/>
      </c>
      <c r="G246" s="3">
        <f>INDEX('03_主属性基础'!$J$2:$J$13,MATCH(D246,'03_主属性基础'!$I$2:$I$13,0))</f>
        <v/>
      </c>
      <c r="H246" s="3">
        <f>E246*F246*G246</f>
        <v/>
      </c>
    </row>
    <row r="247">
      <c r="A247" s="2" t="inlineStr">
        <is>
          <t>腰带</t>
        </is>
      </c>
      <c r="B247" s="3">
        <f>INDEX('03_主属性基础'!$B$2:$B$9,MATCH(A247,'03_主属性基础'!$A$2:$A$9,0))</f>
        <v/>
      </c>
      <c r="C247" s="2" t="inlineStr">
        <is>
          <t>绿</t>
        </is>
      </c>
      <c r="D247" s="2" t="n">
        <v>30</v>
      </c>
      <c r="E247" s="3">
        <f>INDEX('03_主属性基础'!$F$2:$F$9,MATCH(B247,'03_主属性基础'!$E$2:$E$9,0))</f>
        <v/>
      </c>
      <c r="F247" s="3">
        <f>INDEX('02_品质等级'!$C$2:$C$6,MATCH(C247,'02_品质等级'!$A$2:$A$6,0))</f>
        <v/>
      </c>
      <c r="G247" s="3">
        <f>INDEX('03_主属性基础'!$J$2:$J$13,MATCH(D247,'03_主属性基础'!$I$2:$I$13,0))</f>
        <v/>
      </c>
      <c r="H247" s="3">
        <f>E247*F247*G247</f>
        <v/>
      </c>
    </row>
    <row r="248">
      <c r="A248" s="2" t="inlineStr">
        <is>
          <t>腰带</t>
        </is>
      </c>
      <c r="B248" s="3">
        <f>INDEX('03_主属性基础'!$B$2:$B$9,MATCH(A248,'03_主属性基础'!$A$2:$A$9,0))</f>
        <v/>
      </c>
      <c r="C248" s="2" t="inlineStr">
        <is>
          <t>绿</t>
        </is>
      </c>
      <c r="D248" s="2" t="n">
        <v>35</v>
      </c>
      <c r="E248" s="3">
        <f>INDEX('03_主属性基础'!$F$2:$F$9,MATCH(B248,'03_主属性基础'!$E$2:$E$9,0))</f>
        <v/>
      </c>
      <c r="F248" s="3">
        <f>INDEX('02_品质等级'!$C$2:$C$6,MATCH(C248,'02_品质等级'!$A$2:$A$6,0))</f>
        <v/>
      </c>
      <c r="G248" s="3">
        <f>INDEX('03_主属性基础'!$J$2:$J$13,MATCH(D248,'03_主属性基础'!$I$2:$I$13,0))</f>
        <v/>
      </c>
      <c r="H248" s="3">
        <f>E248*F248*G248</f>
        <v/>
      </c>
    </row>
    <row r="249">
      <c r="A249" s="2" t="inlineStr">
        <is>
          <t>腰带</t>
        </is>
      </c>
      <c r="B249" s="3">
        <f>INDEX('03_主属性基础'!$B$2:$B$9,MATCH(A249,'03_主属性基础'!$A$2:$A$9,0))</f>
        <v/>
      </c>
      <c r="C249" s="2" t="inlineStr">
        <is>
          <t>绿</t>
        </is>
      </c>
      <c r="D249" s="2" t="n">
        <v>40</v>
      </c>
      <c r="E249" s="3">
        <f>INDEX('03_主属性基础'!$F$2:$F$9,MATCH(B249,'03_主属性基础'!$E$2:$E$9,0))</f>
        <v/>
      </c>
      <c r="F249" s="3">
        <f>INDEX('02_品质等级'!$C$2:$C$6,MATCH(C249,'02_品质等级'!$A$2:$A$6,0))</f>
        <v/>
      </c>
      <c r="G249" s="3">
        <f>INDEX('03_主属性基础'!$J$2:$J$13,MATCH(D249,'03_主属性基础'!$I$2:$I$13,0))</f>
        <v/>
      </c>
      <c r="H249" s="3">
        <f>E249*F249*G249</f>
        <v/>
      </c>
    </row>
    <row r="250">
      <c r="A250" s="2" t="inlineStr">
        <is>
          <t>腰带</t>
        </is>
      </c>
      <c r="B250" s="3">
        <f>INDEX('03_主属性基础'!$B$2:$B$9,MATCH(A250,'03_主属性基础'!$A$2:$A$9,0))</f>
        <v/>
      </c>
      <c r="C250" s="2" t="inlineStr">
        <is>
          <t>绿</t>
        </is>
      </c>
      <c r="D250" s="2" t="n">
        <v>45</v>
      </c>
      <c r="E250" s="3">
        <f>INDEX('03_主属性基础'!$F$2:$F$9,MATCH(B250,'03_主属性基础'!$E$2:$E$9,0))</f>
        <v/>
      </c>
      <c r="F250" s="3">
        <f>INDEX('02_品质等级'!$C$2:$C$6,MATCH(C250,'02_品质等级'!$A$2:$A$6,0))</f>
        <v/>
      </c>
      <c r="G250" s="3">
        <f>INDEX('03_主属性基础'!$J$2:$J$13,MATCH(D250,'03_主属性基础'!$I$2:$I$13,0))</f>
        <v/>
      </c>
      <c r="H250" s="3">
        <f>E250*F250*G250</f>
        <v/>
      </c>
    </row>
    <row r="251">
      <c r="A251" s="2" t="inlineStr">
        <is>
          <t>腰带</t>
        </is>
      </c>
      <c r="B251" s="3">
        <f>INDEX('03_主属性基础'!$B$2:$B$9,MATCH(A251,'03_主属性基础'!$A$2:$A$9,0))</f>
        <v/>
      </c>
      <c r="C251" s="2" t="inlineStr">
        <is>
          <t>绿</t>
        </is>
      </c>
      <c r="D251" s="2" t="n">
        <v>50</v>
      </c>
      <c r="E251" s="3">
        <f>INDEX('03_主属性基础'!$F$2:$F$9,MATCH(B251,'03_主属性基础'!$E$2:$E$9,0))</f>
        <v/>
      </c>
      <c r="F251" s="3">
        <f>INDEX('02_品质等级'!$C$2:$C$6,MATCH(C251,'02_品质等级'!$A$2:$A$6,0))</f>
        <v/>
      </c>
      <c r="G251" s="3">
        <f>INDEX('03_主属性基础'!$J$2:$J$13,MATCH(D251,'03_主属性基础'!$I$2:$I$13,0))</f>
        <v/>
      </c>
      <c r="H251" s="3">
        <f>E251*F251*G251</f>
        <v/>
      </c>
    </row>
    <row r="252">
      <c r="A252" s="2" t="inlineStr">
        <is>
          <t>腰带</t>
        </is>
      </c>
      <c r="B252" s="3">
        <f>INDEX('03_主属性基础'!$B$2:$B$9,MATCH(A252,'03_主属性基础'!$A$2:$A$9,0))</f>
        <v/>
      </c>
      <c r="C252" s="2" t="inlineStr">
        <is>
          <t>绿</t>
        </is>
      </c>
      <c r="D252" s="2" t="n">
        <v>55</v>
      </c>
      <c r="E252" s="3">
        <f>INDEX('03_主属性基础'!$F$2:$F$9,MATCH(B252,'03_主属性基础'!$E$2:$E$9,0))</f>
        <v/>
      </c>
      <c r="F252" s="3">
        <f>INDEX('02_品质等级'!$C$2:$C$6,MATCH(C252,'02_品质等级'!$A$2:$A$6,0))</f>
        <v/>
      </c>
      <c r="G252" s="3">
        <f>INDEX('03_主属性基础'!$J$2:$J$13,MATCH(D252,'03_主属性基础'!$I$2:$I$13,0))</f>
        <v/>
      </c>
      <c r="H252" s="3">
        <f>E252*F252*G252</f>
        <v/>
      </c>
    </row>
    <row r="253">
      <c r="A253" s="2" t="inlineStr">
        <is>
          <t>腰带</t>
        </is>
      </c>
      <c r="B253" s="3">
        <f>INDEX('03_主属性基础'!$B$2:$B$9,MATCH(A253,'03_主属性基础'!$A$2:$A$9,0))</f>
        <v/>
      </c>
      <c r="C253" s="2" t="inlineStr">
        <is>
          <t>绿</t>
        </is>
      </c>
      <c r="D253" s="2" t="n">
        <v>60</v>
      </c>
      <c r="E253" s="3">
        <f>INDEX('03_主属性基础'!$F$2:$F$9,MATCH(B253,'03_主属性基础'!$E$2:$E$9,0))</f>
        <v/>
      </c>
      <c r="F253" s="3">
        <f>INDEX('02_品质等级'!$C$2:$C$6,MATCH(C253,'02_品质等级'!$A$2:$A$6,0))</f>
        <v/>
      </c>
      <c r="G253" s="3">
        <f>INDEX('03_主属性基础'!$J$2:$J$13,MATCH(D253,'03_主属性基础'!$I$2:$I$13,0))</f>
        <v/>
      </c>
      <c r="H253" s="3">
        <f>E253*F253*G253</f>
        <v/>
      </c>
    </row>
    <row r="254">
      <c r="A254" s="2" t="inlineStr">
        <is>
          <t>腰带</t>
        </is>
      </c>
      <c r="B254" s="3">
        <f>INDEX('03_主属性基础'!$B$2:$B$9,MATCH(A254,'03_主属性基础'!$A$2:$A$9,0))</f>
        <v/>
      </c>
      <c r="C254" s="2" t="inlineStr">
        <is>
          <t>蓝</t>
        </is>
      </c>
      <c r="D254" s="2" t="n">
        <v>5</v>
      </c>
      <c r="E254" s="3">
        <f>INDEX('03_主属性基础'!$F$2:$F$9,MATCH(B254,'03_主属性基础'!$E$2:$E$9,0))</f>
        <v/>
      </c>
      <c r="F254" s="3">
        <f>INDEX('02_品质等级'!$C$2:$C$6,MATCH(C254,'02_品质等级'!$A$2:$A$6,0))</f>
        <v/>
      </c>
      <c r="G254" s="3">
        <f>INDEX('03_主属性基础'!$J$2:$J$13,MATCH(D254,'03_主属性基础'!$I$2:$I$13,0))</f>
        <v/>
      </c>
      <c r="H254" s="3">
        <f>E254*F254*G254</f>
        <v/>
      </c>
    </row>
    <row r="255">
      <c r="A255" s="2" t="inlineStr">
        <is>
          <t>腰带</t>
        </is>
      </c>
      <c r="B255" s="3">
        <f>INDEX('03_主属性基础'!$B$2:$B$9,MATCH(A255,'03_主属性基础'!$A$2:$A$9,0))</f>
        <v/>
      </c>
      <c r="C255" s="2" t="inlineStr">
        <is>
          <t>蓝</t>
        </is>
      </c>
      <c r="D255" s="2" t="n">
        <v>10</v>
      </c>
      <c r="E255" s="3">
        <f>INDEX('03_主属性基础'!$F$2:$F$9,MATCH(B255,'03_主属性基础'!$E$2:$E$9,0))</f>
        <v/>
      </c>
      <c r="F255" s="3">
        <f>INDEX('02_品质等级'!$C$2:$C$6,MATCH(C255,'02_品质等级'!$A$2:$A$6,0))</f>
        <v/>
      </c>
      <c r="G255" s="3">
        <f>INDEX('03_主属性基础'!$J$2:$J$13,MATCH(D255,'03_主属性基础'!$I$2:$I$13,0))</f>
        <v/>
      </c>
      <c r="H255" s="3">
        <f>E255*F255*G255</f>
        <v/>
      </c>
    </row>
    <row r="256">
      <c r="A256" s="2" t="inlineStr">
        <is>
          <t>腰带</t>
        </is>
      </c>
      <c r="B256" s="3">
        <f>INDEX('03_主属性基础'!$B$2:$B$9,MATCH(A256,'03_主属性基础'!$A$2:$A$9,0))</f>
        <v/>
      </c>
      <c r="C256" s="2" t="inlineStr">
        <is>
          <t>蓝</t>
        </is>
      </c>
      <c r="D256" s="2" t="n">
        <v>15</v>
      </c>
      <c r="E256" s="3">
        <f>INDEX('03_主属性基础'!$F$2:$F$9,MATCH(B256,'03_主属性基础'!$E$2:$E$9,0))</f>
        <v/>
      </c>
      <c r="F256" s="3">
        <f>INDEX('02_品质等级'!$C$2:$C$6,MATCH(C256,'02_品质等级'!$A$2:$A$6,0))</f>
        <v/>
      </c>
      <c r="G256" s="3">
        <f>INDEX('03_主属性基础'!$J$2:$J$13,MATCH(D256,'03_主属性基础'!$I$2:$I$13,0))</f>
        <v/>
      </c>
      <c r="H256" s="3">
        <f>E256*F256*G256</f>
        <v/>
      </c>
    </row>
    <row r="257">
      <c r="A257" s="2" t="inlineStr">
        <is>
          <t>腰带</t>
        </is>
      </c>
      <c r="B257" s="3">
        <f>INDEX('03_主属性基础'!$B$2:$B$9,MATCH(A257,'03_主属性基础'!$A$2:$A$9,0))</f>
        <v/>
      </c>
      <c r="C257" s="2" t="inlineStr">
        <is>
          <t>蓝</t>
        </is>
      </c>
      <c r="D257" s="2" t="n">
        <v>20</v>
      </c>
      <c r="E257" s="3">
        <f>INDEX('03_主属性基础'!$F$2:$F$9,MATCH(B257,'03_主属性基础'!$E$2:$E$9,0))</f>
        <v/>
      </c>
      <c r="F257" s="3">
        <f>INDEX('02_品质等级'!$C$2:$C$6,MATCH(C257,'02_品质等级'!$A$2:$A$6,0))</f>
        <v/>
      </c>
      <c r="G257" s="3">
        <f>INDEX('03_主属性基础'!$J$2:$J$13,MATCH(D257,'03_主属性基础'!$I$2:$I$13,0))</f>
        <v/>
      </c>
      <c r="H257" s="3">
        <f>E257*F257*G257</f>
        <v/>
      </c>
    </row>
    <row r="258">
      <c r="A258" s="2" t="inlineStr">
        <is>
          <t>腰带</t>
        </is>
      </c>
      <c r="B258" s="3">
        <f>INDEX('03_主属性基础'!$B$2:$B$9,MATCH(A258,'03_主属性基础'!$A$2:$A$9,0))</f>
        <v/>
      </c>
      <c r="C258" s="2" t="inlineStr">
        <is>
          <t>蓝</t>
        </is>
      </c>
      <c r="D258" s="2" t="n">
        <v>25</v>
      </c>
      <c r="E258" s="3">
        <f>INDEX('03_主属性基础'!$F$2:$F$9,MATCH(B258,'03_主属性基础'!$E$2:$E$9,0))</f>
        <v/>
      </c>
      <c r="F258" s="3">
        <f>INDEX('02_品质等级'!$C$2:$C$6,MATCH(C258,'02_品质等级'!$A$2:$A$6,0))</f>
        <v/>
      </c>
      <c r="G258" s="3">
        <f>INDEX('03_主属性基础'!$J$2:$J$13,MATCH(D258,'03_主属性基础'!$I$2:$I$13,0))</f>
        <v/>
      </c>
      <c r="H258" s="3">
        <f>E258*F258*G258</f>
        <v/>
      </c>
    </row>
    <row r="259">
      <c r="A259" s="2" t="inlineStr">
        <is>
          <t>腰带</t>
        </is>
      </c>
      <c r="B259" s="3">
        <f>INDEX('03_主属性基础'!$B$2:$B$9,MATCH(A259,'03_主属性基础'!$A$2:$A$9,0))</f>
        <v/>
      </c>
      <c r="C259" s="2" t="inlineStr">
        <is>
          <t>蓝</t>
        </is>
      </c>
      <c r="D259" s="2" t="n">
        <v>30</v>
      </c>
      <c r="E259" s="3">
        <f>INDEX('03_主属性基础'!$F$2:$F$9,MATCH(B259,'03_主属性基础'!$E$2:$E$9,0))</f>
        <v/>
      </c>
      <c r="F259" s="3">
        <f>INDEX('02_品质等级'!$C$2:$C$6,MATCH(C259,'02_品质等级'!$A$2:$A$6,0))</f>
        <v/>
      </c>
      <c r="G259" s="3">
        <f>INDEX('03_主属性基础'!$J$2:$J$13,MATCH(D259,'03_主属性基础'!$I$2:$I$13,0))</f>
        <v/>
      </c>
      <c r="H259" s="3">
        <f>E259*F259*G259</f>
        <v/>
      </c>
    </row>
    <row r="260">
      <c r="A260" s="2" t="inlineStr">
        <is>
          <t>腰带</t>
        </is>
      </c>
      <c r="B260" s="3">
        <f>INDEX('03_主属性基础'!$B$2:$B$9,MATCH(A260,'03_主属性基础'!$A$2:$A$9,0))</f>
        <v/>
      </c>
      <c r="C260" s="2" t="inlineStr">
        <is>
          <t>蓝</t>
        </is>
      </c>
      <c r="D260" s="2" t="n">
        <v>35</v>
      </c>
      <c r="E260" s="3">
        <f>INDEX('03_主属性基础'!$F$2:$F$9,MATCH(B260,'03_主属性基础'!$E$2:$E$9,0))</f>
        <v/>
      </c>
      <c r="F260" s="3">
        <f>INDEX('02_品质等级'!$C$2:$C$6,MATCH(C260,'02_品质等级'!$A$2:$A$6,0))</f>
        <v/>
      </c>
      <c r="G260" s="3">
        <f>INDEX('03_主属性基础'!$J$2:$J$13,MATCH(D260,'03_主属性基础'!$I$2:$I$13,0))</f>
        <v/>
      </c>
      <c r="H260" s="3">
        <f>E260*F260*G260</f>
        <v/>
      </c>
    </row>
    <row r="261">
      <c r="A261" s="2" t="inlineStr">
        <is>
          <t>腰带</t>
        </is>
      </c>
      <c r="B261" s="3">
        <f>INDEX('03_主属性基础'!$B$2:$B$9,MATCH(A261,'03_主属性基础'!$A$2:$A$9,0))</f>
        <v/>
      </c>
      <c r="C261" s="2" t="inlineStr">
        <is>
          <t>蓝</t>
        </is>
      </c>
      <c r="D261" s="2" t="n">
        <v>40</v>
      </c>
      <c r="E261" s="3">
        <f>INDEX('03_主属性基础'!$F$2:$F$9,MATCH(B261,'03_主属性基础'!$E$2:$E$9,0))</f>
        <v/>
      </c>
      <c r="F261" s="3">
        <f>INDEX('02_品质等级'!$C$2:$C$6,MATCH(C261,'02_品质等级'!$A$2:$A$6,0))</f>
        <v/>
      </c>
      <c r="G261" s="3">
        <f>INDEX('03_主属性基础'!$J$2:$J$13,MATCH(D261,'03_主属性基础'!$I$2:$I$13,0))</f>
        <v/>
      </c>
      <c r="H261" s="3">
        <f>E261*F261*G261</f>
        <v/>
      </c>
    </row>
    <row r="262">
      <c r="A262" s="2" t="inlineStr">
        <is>
          <t>腰带</t>
        </is>
      </c>
      <c r="B262" s="3">
        <f>INDEX('03_主属性基础'!$B$2:$B$9,MATCH(A262,'03_主属性基础'!$A$2:$A$9,0))</f>
        <v/>
      </c>
      <c r="C262" s="2" t="inlineStr">
        <is>
          <t>蓝</t>
        </is>
      </c>
      <c r="D262" s="2" t="n">
        <v>45</v>
      </c>
      <c r="E262" s="3">
        <f>INDEX('03_主属性基础'!$F$2:$F$9,MATCH(B262,'03_主属性基础'!$E$2:$E$9,0))</f>
        <v/>
      </c>
      <c r="F262" s="3">
        <f>INDEX('02_品质等级'!$C$2:$C$6,MATCH(C262,'02_品质等级'!$A$2:$A$6,0))</f>
        <v/>
      </c>
      <c r="G262" s="3">
        <f>INDEX('03_主属性基础'!$J$2:$J$13,MATCH(D262,'03_主属性基础'!$I$2:$I$13,0))</f>
        <v/>
      </c>
      <c r="H262" s="3">
        <f>E262*F262*G262</f>
        <v/>
      </c>
    </row>
    <row r="263">
      <c r="A263" s="2" t="inlineStr">
        <is>
          <t>腰带</t>
        </is>
      </c>
      <c r="B263" s="3">
        <f>INDEX('03_主属性基础'!$B$2:$B$9,MATCH(A263,'03_主属性基础'!$A$2:$A$9,0))</f>
        <v/>
      </c>
      <c r="C263" s="2" t="inlineStr">
        <is>
          <t>蓝</t>
        </is>
      </c>
      <c r="D263" s="2" t="n">
        <v>50</v>
      </c>
      <c r="E263" s="3">
        <f>INDEX('03_主属性基础'!$F$2:$F$9,MATCH(B263,'03_主属性基础'!$E$2:$E$9,0))</f>
        <v/>
      </c>
      <c r="F263" s="3">
        <f>INDEX('02_品质等级'!$C$2:$C$6,MATCH(C263,'02_品质等级'!$A$2:$A$6,0))</f>
        <v/>
      </c>
      <c r="G263" s="3">
        <f>INDEX('03_主属性基础'!$J$2:$J$13,MATCH(D263,'03_主属性基础'!$I$2:$I$13,0))</f>
        <v/>
      </c>
      <c r="H263" s="3">
        <f>E263*F263*G263</f>
        <v/>
      </c>
    </row>
    <row r="264">
      <c r="A264" s="2" t="inlineStr">
        <is>
          <t>腰带</t>
        </is>
      </c>
      <c r="B264" s="3">
        <f>INDEX('03_主属性基础'!$B$2:$B$9,MATCH(A264,'03_主属性基础'!$A$2:$A$9,0))</f>
        <v/>
      </c>
      <c r="C264" s="2" t="inlineStr">
        <is>
          <t>蓝</t>
        </is>
      </c>
      <c r="D264" s="2" t="n">
        <v>55</v>
      </c>
      <c r="E264" s="3">
        <f>INDEX('03_主属性基础'!$F$2:$F$9,MATCH(B264,'03_主属性基础'!$E$2:$E$9,0))</f>
        <v/>
      </c>
      <c r="F264" s="3">
        <f>INDEX('02_品质等级'!$C$2:$C$6,MATCH(C264,'02_品质等级'!$A$2:$A$6,0))</f>
        <v/>
      </c>
      <c r="G264" s="3">
        <f>INDEX('03_主属性基础'!$J$2:$J$13,MATCH(D264,'03_主属性基础'!$I$2:$I$13,0))</f>
        <v/>
      </c>
      <c r="H264" s="3">
        <f>E264*F264*G264</f>
        <v/>
      </c>
    </row>
    <row r="265">
      <c r="A265" s="2" t="inlineStr">
        <is>
          <t>腰带</t>
        </is>
      </c>
      <c r="B265" s="3">
        <f>INDEX('03_主属性基础'!$B$2:$B$9,MATCH(A265,'03_主属性基础'!$A$2:$A$9,0))</f>
        <v/>
      </c>
      <c r="C265" s="2" t="inlineStr">
        <is>
          <t>蓝</t>
        </is>
      </c>
      <c r="D265" s="2" t="n">
        <v>60</v>
      </c>
      <c r="E265" s="3">
        <f>INDEX('03_主属性基础'!$F$2:$F$9,MATCH(B265,'03_主属性基础'!$E$2:$E$9,0))</f>
        <v/>
      </c>
      <c r="F265" s="3">
        <f>INDEX('02_品质等级'!$C$2:$C$6,MATCH(C265,'02_品质等级'!$A$2:$A$6,0))</f>
        <v/>
      </c>
      <c r="G265" s="3">
        <f>INDEX('03_主属性基础'!$J$2:$J$13,MATCH(D265,'03_主属性基础'!$I$2:$I$13,0))</f>
        <v/>
      </c>
      <c r="H265" s="3">
        <f>E265*F265*G265</f>
        <v/>
      </c>
    </row>
    <row r="266">
      <c r="A266" s="2" t="inlineStr">
        <is>
          <t>腰带</t>
        </is>
      </c>
      <c r="B266" s="3">
        <f>INDEX('03_主属性基础'!$B$2:$B$9,MATCH(A266,'03_主属性基础'!$A$2:$A$9,0))</f>
        <v/>
      </c>
      <c r="C266" s="2" t="inlineStr">
        <is>
          <t>紫</t>
        </is>
      </c>
      <c r="D266" s="2" t="n">
        <v>5</v>
      </c>
      <c r="E266" s="3">
        <f>INDEX('03_主属性基础'!$F$2:$F$9,MATCH(B266,'03_主属性基础'!$E$2:$E$9,0))</f>
        <v/>
      </c>
      <c r="F266" s="3">
        <f>INDEX('02_品质等级'!$C$2:$C$6,MATCH(C266,'02_品质等级'!$A$2:$A$6,0))</f>
        <v/>
      </c>
      <c r="G266" s="3">
        <f>INDEX('03_主属性基础'!$J$2:$J$13,MATCH(D266,'03_主属性基础'!$I$2:$I$13,0))</f>
        <v/>
      </c>
      <c r="H266" s="3">
        <f>E266*F266*G266</f>
        <v/>
      </c>
    </row>
    <row r="267">
      <c r="A267" s="2" t="inlineStr">
        <is>
          <t>腰带</t>
        </is>
      </c>
      <c r="B267" s="3">
        <f>INDEX('03_主属性基础'!$B$2:$B$9,MATCH(A267,'03_主属性基础'!$A$2:$A$9,0))</f>
        <v/>
      </c>
      <c r="C267" s="2" t="inlineStr">
        <is>
          <t>紫</t>
        </is>
      </c>
      <c r="D267" s="2" t="n">
        <v>10</v>
      </c>
      <c r="E267" s="3">
        <f>INDEX('03_主属性基础'!$F$2:$F$9,MATCH(B267,'03_主属性基础'!$E$2:$E$9,0))</f>
        <v/>
      </c>
      <c r="F267" s="3">
        <f>INDEX('02_品质等级'!$C$2:$C$6,MATCH(C267,'02_品质等级'!$A$2:$A$6,0))</f>
        <v/>
      </c>
      <c r="G267" s="3">
        <f>INDEX('03_主属性基础'!$J$2:$J$13,MATCH(D267,'03_主属性基础'!$I$2:$I$13,0))</f>
        <v/>
      </c>
      <c r="H267" s="3">
        <f>E267*F267*G267</f>
        <v/>
      </c>
    </row>
    <row r="268">
      <c r="A268" s="2" t="inlineStr">
        <is>
          <t>腰带</t>
        </is>
      </c>
      <c r="B268" s="3">
        <f>INDEX('03_主属性基础'!$B$2:$B$9,MATCH(A268,'03_主属性基础'!$A$2:$A$9,0))</f>
        <v/>
      </c>
      <c r="C268" s="2" t="inlineStr">
        <is>
          <t>紫</t>
        </is>
      </c>
      <c r="D268" s="2" t="n">
        <v>15</v>
      </c>
      <c r="E268" s="3">
        <f>INDEX('03_主属性基础'!$F$2:$F$9,MATCH(B268,'03_主属性基础'!$E$2:$E$9,0))</f>
        <v/>
      </c>
      <c r="F268" s="3">
        <f>INDEX('02_品质等级'!$C$2:$C$6,MATCH(C268,'02_品质等级'!$A$2:$A$6,0))</f>
        <v/>
      </c>
      <c r="G268" s="3">
        <f>INDEX('03_主属性基础'!$J$2:$J$13,MATCH(D268,'03_主属性基础'!$I$2:$I$13,0))</f>
        <v/>
      </c>
      <c r="H268" s="3">
        <f>E268*F268*G268</f>
        <v/>
      </c>
    </row>
    <row r="269">
      <c r="A269" s="2" t="inlineStr">
        <is>
          <t>腰带</t>
        </is>
      </c>
      <c r="B269" s="3">
        <f>INDEX('03_主属性基础'!$B$2:$B$9,MATCH(A269,'03_主属性基础'!$A$2:$A$9,0))</f>
        <v/>
      </c>
      <c r="C269" s="2" t="inlineStr">
        <is>
          <t>紫</t>
        </is>
      </c>
      <c r="D269" s="2" t="n">
        <v>20</v>
      </c>
      <c r="E269" s="3">
        <f>INDEX('03_主属性基础'!$F$2:$F$9,MATCH(B269,'03_主属性基础'!$E$2:$E$9,0))</f>
        <v/>
      </c>
      <c r="F269" s="3">
        <f>INDEX('02_品质等级'!$C$2:$C$6,MATCH(C269,'02_品质等级'!$A$2:$A$6,0))</f>
        <v/>
      </c>
      <c r="G269" s="3">
        <f>INDEX('03_主属性基础'!$J$2:$J$13,MATCH(D269,'03_主属性基础'!$I$2:$I$13,0))</f>
        <v/>
      </c>
      <c r="H269" s="3">
        <f>E269*F269*G269</f>
        <v/>
      </c>
    </row>
    <row r="270">
      <c r="A270" s="2" t="inlineStr">
        <is>
          <t>腰带</t>
        </is>
      </c>
      <c r="B270" s="3">
        <f>INDEX('03_主属性基础'!$B$2:$B$9,MATCH(A270,'03_主属性基础'!$A$2:$A$9,0))</f>
        <v/>
      </c>
      <c r="C270" s="2" t="inlineStr">
        <is>
          <t>紫</t>
        </is>
      </c>
      <c r="D270" s="2" t="n">
        <v>25</v>
      </c>
      <c r="E270" s="3">
        <f>INDEX('03_主属性基础'!$F$2:$F$9,MATCH(B270,'03_主属性基础'!$E$2:$E$9,0))</f>
        <v/>
      </c>
      <c r="F270" s="3">
        <f>INDEX('02_品质等级'!$C$2:$C$6,MATCH(C270,'02_品质等级'!$A$2:$A$6,0))</f>
        <v/>
      </c>
      <c r="G270" s="3">
        <f>INDEX('03_主属性基础'!$J$2:$J$13,MATCH(D270,'03_主属性基础'!$I$2:$I$13,0))</f>
        <v/>
      </c>
      <c r="H270" s="3">
        <f>E270*F270*G270</f>
        <v/>
      </c>
    </row>
    <row r="271">
      <c r="A271" s="2" t="inlineStr">
        <is>
          <t>腰带</t>
        </is>
      </c>
      <c r="B271" s="3">
        <f>INDEX('03_主属性基础'!$B$2:$B$9,MATCH(A271,'03_主属性基础'!$A$2:$A$9,0))</f>
        <v/>
      </c>
      <c r="C271" s="2" t="inlineStr">
        <is>
          <t>紫</t>
        </is>
      </c>
      <c r="D271" s="2" t="n">
        <v>30</v>
      </c>
      <c r="E271" s="3">
        <f>INDEX('03_主属性基础'!$F$2:$F$9,MATCH(B271,'03_主属性基础'!$E$2:$E$9,0))</f>
        <v/>
      </c>
      <c r="F271" s="3">
        <f>INDEX('02_品质等级'!$C$2:$C$6,MATCH(C271,'02_品质等级'!$A$2:$A$6,0))</f>
        <v/>
      </c>
      <c r="G271" s="3">
        <f>INDEX('03_主属性基础'!$J$2:$J$13,MATCH(D271,'03_主属性基础'!$I$2:$I$13,0))</f>
        <v/>
      </c>
      <c r="H271" s="3">
        <f>E271*F271*G271</f>
        <v/>
      </c>
    </row>
    <row r="272">
      <c r="A272" s="2" t="inlineStr">
        <is>
          <t>腰带</t>
        </is>
      </c>
      <c r="B272" s="3">
        <f>INDEX('03_主属性基础'!$B$2:$B$9,MATCH(A272,'03_主属性基础'!$A$2:$A$9,0))</f>
        <v/>
      </c>
      <c r="C272" s="2" t="inlineStr">
        <is>
          <t>紫</t>
        </is>
      </c>
      <c r="D272" s="2" t="n">
        <v>35</v>
      </c>
      <c r="E272" s="3">
        <f>INDEX('03_主属性基础'!$F$2:$F$9,MATCH(B272,'03_主属性基础'!$E$2:$E$9,0))</f>
        <v/>
      </c>
      <c r="F272" s="3">
        <f>INDEX('02_品质等级'!$C$2:$C$6,MATCH(C272,'02_品质等级'!$A$2:$A$6,0))</f>
        <v/>
      </c>
      <c r="G272" s="3">
        <f>INDEX('03_主属性基础'!$J$2:$J$13,MATCH(D272,'03_主属性基础'!$I$2:$I$13,0))</f>
        <v/>
      </c>
      <c r="H272" s="3">
        <f>E272*F272*G272</f>
        <v/>
      </c>
    </row>
    <row r="273">
      <c r="A273" s="2" t="inlineStr">
        <is>
          <t>腰带</t>
        </is>
      </c>
      <c r="B273" s="3">
        <f>INDEX('03_主属性基础'!$B$2:$B$9,MATCH(A273,'03_主属性基础'!$A$2:$A$9,0))</f>
        <v/>
      </c>
      <c r="C273" s="2" t="inlineStr">
        <is>
          <t>紫</t>
        </is>
      </c>
      <c r="D273" s="2" t="n">
        <v>40</v>
      </c>
      <c r="E273" s="3">
        <f>INDEX('03_主属性基础'!$F$2:$F$9,MATCH(B273,'03_主属性基础'!$E$2:$E$9,0))</f>
        <v/>
      </c>
      <c r="F273" s="3">
        <f>INDEX('02_品质等级'!$C$2:$C$6,MATCH(C273,'02_品质等级'!$A$2:$A$6,0))</f>
        <v/>
      </c>
      <c r="G273" s="3">
        <f>INDEX('03_主属性基础'!$J$2:$J$13,MATCH(D273,'03_主属性基础'!$I$2:$I$13,0))</f>
        <v/>
      </c>
      <c r="H273" s="3">
        <f>E273*F273*G273</f>
        <v/>
      </c>
    </row>
    <row r="274">
      <c r="A274" s="2" t="inlineStr">
        <is>
          <t>腰带</t>
        </is>
      </c>
      <c r="B274" s="3">
        <f>INDEX('03_主属性基础'!$B$2:$B$9,MATCH(A274,'03_主属性基础'!$A$2:$A$9,0))</f>
        <v/>
      </c>
      <c r="C274" s="2" t="inlineStr">
        <is>
          <t>紫</t>
        </is>
      </c>
      <c r="D274" s="2" t="n">
        <v>45</v>
      </c>
      <c r="E274" s="3">
        <f>INDEX('03_主属性基础'!$F$2:$F$9,MATCH(B274,'03_主属性基础'!$E$2:$E$9,0))</f>
        <v/>
      </c>
      <c r="F274" s="3">
        <f>INDEX('02_品质等级'!$C$2:$C$6,MATCH(C274,'02_品质等级'!$A$2:$A$6,0))</f>
        <v/>
      </c>
      <c r="G274" s="3">
        <f>INDEX('03_主属性基础'!$J$2:$J$13,MATCH(D274,'03_主属性基础'!$I$2:$I$13,0))</f>
        <v/>
      </c>
      <c r="H274" s="3">
        <f>E274*F274*G274</f>
        <v/>
      </c>
    </row>
    <row r="275">
      <c r="A275" s="2" t="inlineStr">
        <is>
          <t>腰带</t>
        </is>
      </c>
      <c r="B275" s="3">
        <f>INDEX('03_主属性基础'!$B$2:$B$9,MATCH(A275,'03_主属性基础'!$A$2:$A$9,0))</f>
        <v/>
      </c>
      <c r="C275" s="2" t="inlineStr">
        <is>
          <t>紫</t>
        </is>
      </c>
      <c r="D275" s="2" t="n">
        <v>50</v>
      </c>
      <c r="E275" s="3">
        <f>INDEX('03_主属性基础'!$F$2:$F$9,MATCH(B275,'03_主属性基础'!$E$2:$E$9,0))</f>
        <v/>
      </c>
      <c r="F275" s="3">
        <f>INDEX('02_品质等级'!$C$2:$C$6,MATCH(C275,'02_品质等级'!$A$2:$A$6,0))</f>
        <v/>
      </c>
      <c r="G275" s="3">
        <f>INDEX('03_主属性基础'!$J$2:$J$13,MATCH(D275,'03_主属性基础'!$I$2:$I$13,0))</f>
        <v/>
      </c>
      <c r="H275" s="3">
        <f>E275*F275*G275</f>
        <v/>
      </c>
    </row>
    <row r="276">
      <c r="A276" s="2" t="inlineStr">
        <is>
          <t>腰带</t>
        </is>
      </c>
      <c r="B276" s="3">
        <f>INDEX('03_主属性基础'!$B$2:$B$9,MATCH(A276,'03_主属性基础'!$A$2:$A$9,0))</f>
        <v/>
      </c>
      <c r="C276" s="2" t="inlineStr">
        <is>
          <t>紫</t>
        </is>
      </c>
      <c r="D276" s="2" t="n">
        <v>55</v>
      </c>
      <c r="E276" s="3">
        <f>INDEX('03_主属性基础'!$F$2:$F$9,MATCH(B276,'03_主属性基础'!$E$2:$E$9,0))</f>
        <v/>
      </c>
      <c r="F276" s="3">
        <f>INDEX('02_品质等级'!$C$2:$C$6,MATCH(C276,'02_品质等级'!$A$2:$A$6,0))</f>
        <v/>
      </c>
      <c r="G276" s="3">
        <f>INDEX('03_主属性基础'!$J$2:$J$13,MATCH(D276,'03_主属性基础'!$I$2:$I$13,0))</f>
        <v/>
      </c>
      <c r="H276" s="3">
        <f>E276*F276*G276</f>
        <v/>
      </c>
    </row>
    <row r="277">
      <c r="A277" s="2" t="inlineStr">
        <is>
          <t>腰带</t>
        </is>
      </c>
      <c r="B277" s="3">
        <f>INDEX('03_主属性基础'!$B$2:$B$9,MATCH(A277,'03_主属性基础'!$A$2:$A$9,0))</f>
        <v/>
      </c>
      <c r="C277" s="2" t="inlineStr">
        <is>
          <t>紫</t>
        </is>
      </c>
      <c r="D277" s="2" t="n">
        <v>60</v>
      </c>
      <c r="E277" s="3">
        <f>INDEX('03_主属性基础'!$F$2:$F$9,MATCH(B277,'03_主属性基础'!$E$2:$E$9,0))</f>
        <v/>
      </c>
      <c r="F277" s="3">
        <f>INDEX('02_品质等级'!$C$2:$C$6,MATCH(C277,'02_品质等级'!$A$2:$A$6,0))</f>
        <v/>
      </c>
      <c r="G277" s="3">
        <f>INDEX('03_主属性基础'!$J$2:$J$13,MATCH(D277,'03_主属性基础'!$I$2:$I$13,0))</f>
        <v/>
      </c>
      <c r="H277" s="3">
        <f>E277*F277*G277</f>
        <v/>
      </c>
    </row>
    <row r="278">
      <c r="A278" s="2" t="inlineStr">
        <is>
          <t>腰带</t>
        </is>
      </c>
      <c r="B278" s="3">
        <f>INDEX('03_主属性基础'!$B$2:$B$9,MATCH(A278,'03_主属性基础'!$A$2:$A$9,0))</f>
        <v/>
      </c>
      <c r="C278" s="2" t="inlineStr">
        <is>
          <t>金</t>
        </is>
      </c>
      <c r="D278" s="2" t="n">
        <v>5</v>
      </c>
      <c r="E278" s="3">
        <f>INDEX('03_主属性基础'!$F$2:$F$9,MATCH(B278,'03_主属性基础'!$E$2:$E$9,0))</f>
        <v/>
      </c>
      <c r="F278" s="3">
        <f>INDEX('02_品质等级'!$C$2:$C$6,MATCH(C278,'02_品质等级'!$A$2:$A$6,0))</f>
        <v/>
      </c>
      <c r="G278" s="3">
        <f>INDEX('03_主属性基础'!$J$2:$J$13,MATCH(D278,'03_主属性基础'!$I$2:$I$13,0))</f>
        <v/>
      </c>
      <c r="H278" s="3">
        <f>E278*F278*G278</f>
        <v/>
      </c>
    </row>
    <row r="279">
      <c r="A279" s="2" t="inlineStr">
        <is>
          <t>腰带</t>
        </is>
      </c>
      <c r="B279" s="3">
        <f>INDEX('03_主属性基础'!$B$2:$B$9,MATCH(A279,'03_主属性基础'!$A$2:$A$9,0))</f>
        <v/>
      </c>
      <c r="C279" s="2" t="inlineStr">
        <is>
          <t>金</t>
        </is>
      </c>
      <c r="D279" s="2" t="n">
        <v>10</v>
      </c>
      <c r="E279" s="3">
        <f>INDEX('03_主属性基础'!$F$2:$F$9,MATCH(B279,'03_主属性基础'!$E$2:$E$9,0))</f>
        <v/>
      </c>
      <c r="F279" s="3">
        <f>INDEX('02_品质等级'!$C$2:$C$6,MATCH(C279,'02_品质等级'!$A$2:$A$6,0))</f>
        <v/>
      </c>
      <c r="G279" s="3">
        <f>INDEX('03_主属性基础'!$J$2:$J$13,MATCH(D279,'03_主属性基础'!$I$2:$I$13,0))</f>
        <v/>
      </c>
      <c r="H279" s="3">
        <f>E279*F279*G279</f>
        <v/>
      </c>
    </row>
    <row r="280">
      <c r="A280" s="2" t="inlineStr">
        <is>
          <t>腰带</t>
        </is>
      </c>
      <c r="B280" s="3">
        <f>INDEX('03_主属性基础'!$B$2:$B$9,MATCH(A280,'03_主属性基础'!$A$2:$A$9,0))</f>
        <v/>
      </c>
      <c r="C280" s="2" t="inlineStr">
        <is>
          <t>金</t>
        </is>
      </c>
      <c r="D280" s="2" t="n">
        <v>15</v>
      </c>
      <c r="E280" s="3">
        <f>INDEX('03_主属性基础'!$F$2:$F$9,MATCH(B280,'03_主属性基础'!$E$2:$E$9,0))</f>
        <v/>
      </c>
      <c r="F280" s="3">
        <f>INDEX('02_品质等级'!$C$2:$C$6,MATCH(C280,'02_品质等级'!$A$2:$A$6,0))</f>
        <v/>
      </c>
      <c r="G280" s="3">
        <f>INDEX('03_主属性基础'!$J$2:$J$13,MATCH(D280,'03_主属性基础'!$I$2:$I$13,0))</f>
        <v/>
      </c>
      <c r="H280" s="3">
        <f>E280*F280*G280</f>
        <v/>
      </c>
    </row>
    <row r="281">
      <c r="A281" s="2" t="inlineStr">
        <is>
          <t>腰带</t>
        </is>
      </c>
      <c r="B281" s="3">
        <f>INDEX('03_主属性基础'!$B$2:$B$9,MATCH(A281,'03_主属性基础'!$A$2:$A$9,0))</f>
        <v/>
      </c>
      <c r="C281" s="2" t="inlineStr">
        <is>
          <t>金</t>
        </is>
      </c>
      <c r="D281" s="2" t="n">
        <v>20</v>
      </c>
      <c r="E281" s="3">
        <f>INDEX('03_主属性基础'!$F$2:$F$9,MATCH(B281,'03_主属性基础'!$E$2:$E$9,0))</f>
        <v/>
      </c>
      <c r="F281" s="3">
        <f>INDEX('02_品质等级'!$C$2:$C$6,MATCH(C281,'02_品质等级'!$A$2:$A$6,0))</f>
        <v/>
      </c>
      <c r="G281" s="3">
        <f>INDEX('03_主属性基础'!$J$2:$J$13,MATCH(D281,'03_主属性基础'!$I$2:$I$13,0))</f>
        <v/>
      </c>
      <c r="H281" s="3">
        <f>E281*F281*G281</f>
        <v/>
      </c>
    </row>
    <row r="282">
      <c r="A282" s="2" t="inlineStr">
        <is>
          <t>腰带</t>
        </is>
      </c>
      <c r="B282" s="3">
        <f>INDEX('03_主属性基础'!$B$2:$B$9,MATCH(A282,'03_主属性基础'!$A$2:$A$9,0))</f>
        <v/>
      </c>
      <c r="C282" s="2" t="inlineStr">
        <is>
          <t>金</t>
        </is>
      </c>
      <c r="D282" s="2" t="n">
        <v>25</v>
      </c>
      <c r="E282" s="3">
        <f>INDEX('03_主属性基础'!$F$2:$F$9,MATCH(B282,'03_主属性基础'!$E$2:$E$9,0))</f>
        <v/>
      </c>
      <c r="F282" s="3">
        <f>INDEX('02_品质等级'!$C$2:$C$6,MATCH(C282,'02_品质等级'!$A$2:$A$6,0))</f>
        <v/>
      </c>
      <c r="G282" s="3">
        <f>INDEX('03_主属性基础'!$J$2:$J$13,MATCH(D282,'03_主属性基础'!$I$2:$I$13,0))</f>
        <v/>
      </c>
      <c r="H282" s="3">
        <f>E282*F282*G282</f>
        <v/>
      </c>
    </row>
    <row r="283">
      <c r="A283" s="2" t="inlineStr">
        <is>
          <t>腰带</t>
        </is>
      </c>
      <c r="B283" s="3">
        <f>INDEX('03_主属性基础'!$B$2:$B$9,MATCH(A283,'03_主属性基础'!$A$2:$A$9,0))</f>
        <v/>
      </c>
      <c r="C283" s="2" t="inlineStr">
        <is>
          <t>金</t>
        </is>
      </c>
      <c r="D283" s="2" t="n">
        <v>30</v>
      </c>
      <c r="E283" s="3">
        <f>INDEX('03_主属性基础'!$F$2:$F$9,MATCH(B283,'03_主属性基础'!$E$2:$E$9,0))</f>
        <v/>
      </c>
      <c r="F283" s="3">
        <f>INDEX('02_品质等级'!$C$2:$C$6,MATCH(C283,'02_品质等级'!$A$2:$A$6,0))</f>
        <v/>
      </c>
      <c r="G283" s="3">
        <f>INDEX('03_主属性基础'!$J$2:$J$13,MATCH(D283,'03_主属性基础'!$I$2:$I$13,0))</f>
        <v/>
      </c>
      <c r="H283" s="3">
        <f>E283*F283*G283</f>
        <v/>
      </c>
    </row>
    <row r="284">
      <c r="A284" s="2" t="inlineStr">
        <is>
          <t>腰带</t>
        </is>
      </c>
      <c r="B284" s="3">
        <f>INDEX('03_主属性基础'!$B$2:$B$9,MATCH(A284,'03_主属性基础'!$A$2:$A$9,0))</f>
        <v/>
      </c>
      <c r="C284" s="2" t="inlineStr">
        <is>
          <t>金</t>
        </is>
      </c>
      <c r="D284" s="2" t="n">
        <v>35</v>
      </c>
      <c r="E284" s="3">
        <f>INDEX('03_主属性基础'!$F$2:$F$9,MATCH(B284,'03_主属性基础'!$E$2:$E$9,0))</f>
        <v/>
      </c>
      <c r="F284" s="3">
        <f>INDEX('02_品质等级'!$C$2:$C$6,MATCH(C284,'02_品质等级'!$A$2:$A$6,0))</f>
        <v/>
      </c>
      <c r="G284" s="3">
        <f>INDEX('03_主属性基础'!$J$2:$J$13,MATCH(D284,'03_主属性基础'!$I$2:$I$13,0))</f>
        <v/>
      </c>
      <c r="H284" s="3">
        <f>E284*F284*G284</f>
        <v/>
      </c>
    </row>
    <row r="285">
      <c r="A285" s="2" t="inlineStr">
        <is>
          <t>腰带</t>
        </is>
      </c>
      <c r="B285" s="3">
        <f>INDEX('03_主属性基础'!$B$2:$B$9,MATCH(A285,'03_主属性基础'!$A$2:$A$9,0))</f>
        <v/>
      </c>
      <c r="C285" s="2" t="inlineStr">
        <is>
          <t>金</t>
        </is>
      </c>
      <c r="D285" s="2" t="n">
        <v>40</v>
      </c>
      <c r="E285" s="3">
        <f>INDEX('03_主属性基础'!$F$2:$F$9,MATCH(B285,'03_主属性基础'!$E$2:$E$9,0))</f>
        <v/>
      </c>
      <c r="F285" s="3">
        <f>INDEX('02_品质等级'!$C$2:$C$6,MATCH(C285,'02_品质等级'!$A$2:$A$6,0))</f>
        <v/>
      </c>
      <c r="G285" s="3">
        <f>INDEX('03_主属性基础'!$J$2:$J$13,MATCH(D285,'03_主属性基础'!$I$2:$I$13,0))</f>
        <v/>
      </c>
      <c r="H285" s="3">
        <f>E285*F285*G285</f>
        <v/>
      </c>
    </row>
    <row r="286">
      <c r="A286" s="2" t="inlineStr">
        <is>
          <t>腰带</t>
        </is>
      </c>
      <c r="B286" s="3">
        <f>INDEX('03_主属性基础'!$B$2:$B$9,MATCH(A286,'03_主属性基础'!$A$2:$A$9,0))</f>
        <v/>
      </c>
      <c r="C286" s="2" t="inlineStr">
        <is>
          <t>金</t>
        </is>
      </c>
      <c r="D286" s="2" t="n">
        <v>45</v>
      </c>
      <c r="E286" s="3">
        <f>INDEX('03_主属性基础'!$F$2:$F$9,MATCH(B286,'03_主属性基础'!$E$2:$E$9,0))</f>
        <v/>
      </c>
      <c r="F286" s="3">
        <f>INDEX('02_品质等级'!$C$2:$C$6,MATCH(C286,'02_品质等级'!$A$2:$A$6,0))</f>
        <v/>
      </c>
      <c r="G286" s="3">
        <f>INDEX('03_主属性基础'!$J$2:$J$13,MATCH(D286,'03_主属性基础'!$I$2:$I$13,0))</f>
        <v/>
      </c>
      <c r="H286" s="3">
        <f>E286*F286*G286</f>
        <v/>
      </c>
    </row>
    <row r="287">
      <c r="A287" s="2" t="inlineStr">
        <is>
          <t>腰带</t>
        </is>
      </c>
      <c r="B287" s="3">
        <f>INDEX('03_主属性基础'!$B$2:$B$9,MATCH(A287,'03_主属性基础'!$A$2:$A$9,0))</f>
        <v/>
      </c>
      <c r="C287" s="2" t="inlineStr">
        <is>
          <t>金</t>
        </is>
      </c>
      <c r="D287" s="2" t="n">
        <v>50</v>
      </c>
      <c r="E287" s="3">
        <f>INDEX('03_主属性基础'!$F$2:$F$9,MATCH(B287,'03_主属性基础'!$E$2:$E$9,0))</f>
        <v/>
      </c>
      <c r="F287" s="3">
        <f>INDEX('02_品质等级'!$C$2:$C$6,MATCH(C287,'02_品质等级'!$A$2:$A$6,0))</f>
        <v/>
      </c>
      <c r="G287" s="3">
        <f>INDEX('03_主属性基础'!$J$2:$J$13,MATCH(D287,'03_主属性基础'!$I$2:$I$13,0))</f>
        <v/>
      </c>
      <c r="H287" s="3">
        <f>E287*F287*G287</f>
        <v/>
      </c>
    </row>
    <row r="288">
      <c r="A288" s="2" t="inlineStr">
        <is>
          <t>腰带</t>
        </is>
      </c>
      <c r="B288" s="3">
        <f>INDEX('03_主属性基础'!$B$2:$B$9,MATCH(A288,'03_主属性基础'!$A$2:$A$9,0))</f>
        <v/>
      </c>
      <c r="C288" s="2" t="inlineStr">
        <is>
          <t>金</t>
        </is>
      </c>
      <c r="D288" s="2" t="n">
        <v>55</v>
      </c>
      <c r="E288" s="3">
        <f>INDEX('03_主属性基础'!$F$2:$F$9,MATCH(B288,'03_主属性基础'!$E$2:$E$9,0))</f>
        <v/>
      </c>
      <c r="F288" s="3">
        <f>INDEX('02_品质等级'!$C$2:$C$6,MATCH(C288,'02_品质等级'!$A$2:$A$6,0))</f>
        <v/>
      </c>
      <c r="G288" s="3">
        <f>INDEX('03_主属性基础'!$J$2:$J$13,MATCH(D288,'03_主属性基础'!$I$2:$I$13,0))</f>
        <v/>
      </c>
      <c r="H288" s="3">
        <f>E288*F288*G288</f>
        <v/>
      </c>
    </row>
    <row r="289">
      <c r="A289" s="2" t="inlineStr">
        <is>
          <t>腰带</t>
        </is>
      </c>
      <c r="B289" s="3">
        <f>INDEX('03_主属性基础'!$B$2:$B$9,MATCH(A289,'03_主属性基础'!$A$2:$A$9,0))</f>
        <v/>
      </c>
      <c r="C289" s="2" t="inlineStr">
        <is>
          <t>金</t>
        </is>
      </c>
      <c r="D289" s="2" t="n">
        <v>60</v>
      </c>
      <c r="E289" s="3">
        <f>INDEX('03_主属性基础'!$F$2:$F$9,MATCH(B289,'03_主属性基础'!$E$2:$E$9,0))</f>
        <v/>
      </c>
      <c r="F289" s="3">
        <f>INDEX('02_品质等级'!$C$2:$C$6,MATCH(C289,'02_品质等级'!$A$2:$A$6,0))</f>
        <v/>
      </c>
      <c r="G289" s="3">
        <f>INDEX('03_主属性基础'!$J$2:$J$13,MATCH(D289,'03_主属性基础'!$I$2:$I$13,0))</f>
        <v/>
      </c>
      <c r="H289" s="3">
        <f>E289*F289*G289</f>
        <v/>
      </c>
    </row>
    <row r="290">
      <c r="A290" s="2" t="inlineStr">
        <is>
          <t>腰带</t>
        </is>
      </c>
      <c r="B290" s="3">
        <f>INDEX('03_主属性基础'!$B$2:$B$9,MATCH(A290,'03_主属性基础'!$A$2:$A$9,0))</f>
        <v/>
      </c>
      <c r="C290" s="2" t="inlineStr">
        <is>
          <t>红</t>
        </is>
      </c>
      <c r="D290" s="2" t="n">
        <v>5</v>
      </c>
      <c r="E290" s="3">
        <f>INDEX('03_主属性基础'!$F$2:$F$9,MATCH(B290,'03_主属性基础'!$E$2:$E$9,0))</f>
        <v/>
      </c>
      <c r="F290" s="3">
        <f>INDEX('02_品质等级'!$C$2:$C$6,MATCH(C290,'02_品质等级'!$A$2:$A$6,0))</f>
        <v/>
      </c>
      <c r="G290" s="3">
        <f>INDEX('03_主属性基础'!$J$2:$J$13,MATCH(D290,'03_主属性基础'!$I$2:$I$13,0))</f>
        <v/>
      </c>
      <c r="H290" s="3">
        <f>E290*F290*G290</f>
        <v/>
      </c>
    </row>
    <row r="291">
      <c r="A291" s="2" t="inlineStr">
        <is>
          <t>腰带</t>
        </is>
      </c>
      <c r="B291" s="3">
        <f>INDEX('03_主属性基础'!$B$2:$B$9,MATCH(A291,'03_主属性基础'!$A$2:$A$9,0))</f>
        <v/>
      </c>
      <c r="C291" s="2" t="inlineStr">
        <is>
          <t>红</t>
        </is>
      </c>
      <c r="D291" s="2" t="n">
        <v>10</v>
      </c>
      <c r="E291" s="3">
        <f>INDEX('03_主属性基础'!$F$2:$F$9,MATCH(B291,'03_主属性基础'!$E$2:$E$9,0))</f>
        <v/>
      </c>
      <c r="F291" s="3">
        <f>INDEX('02_品质等级'!$C$2:$C$6,MATCH(C291,'02_品质等级'!$A$2:$A$6,0))</f>
        <v/>
      </c>
      <c r="G291" s="3">
        <f>INDEX('03_主属性基础'!$J$2:$J$13,MATCH(D291,'03_主属性基础'!$I$2:$I$13,0))</f>
        <v/>
      </c>
      <c r="H291" s="3">
        <f>E291*F291*G291</f>
        <v/>
      </c>
    </row>
    <row r="292">
      <c r="A292" s="2" t="inlineStr">
        <is>
          <t>腰带</t>
        </is>
      </c>
      <c r="B292" s="3">
        <f>INDEX('03_主属性基础'!$B$2:$B$9,MATCH(A292,'03_主属性基础'!$A$2:$A$9,0))</f>
        <v/>
      </c>
      <c r="C292" s="2" t="inlineStr">
        <is>
          <t>红</t>
        </is>
      </c>
      <c r="D292" s="2" t="n">
        <v>15</v>
      </c>
      <c r="E292" s="3">
        <f>INDEX('03_主属性基础'!$F$2:$F$9,MATCH(B292,'03_主属性基础'!$E$2:$E$9,0))</f>
        <v/>
      </c>
      <c r="F292" s="3">
        <f>INDEX('02_品质等级'!$C$2:$C$6,MATCH(C292,'02_品质等级'!$A$2:$A$6,0))</f>
        <v/>
      </c>
      <c r="G292" s="3">
        <f>INDEX('03_主属性基础'!$J$2:$J$13,MATCH(D292,'03_主属性基础'!$I$2:$I$13,0))</f>
        <v/>
      </c>
      <c r="H292" s="3">
        <f>E292*F292*G292</f>
        <v/>
      </c>
    </row>
    <row r="293">
      <c r="A293" s="2" t="inlineStr">
        <is>
          <t>腰带</t>
        </is>
      </c>
      <c r="B293" s="3">
        <f>INDEX('03_主属性基础'!$B$2:$B$9,MATCH(A293,'03_主属性基础'!$A$2:$A$9,0))</f>
        <v/>
      </c>
      <c r="C293" s="2" t="inlineStr">
        <is>
          <t>红</t>
        </is>
      </c>
      <c r="D293" s="2" t="n">
        <v>20</v>
      </c>
      <c r="E293" s="3">
        <f>INDEX('03_主属性基础'!$F$2:$F$9,MATCH(B293,'03_主属性基础'!$E$2:$E$9,0))</f>
        <v/>
      </c>
      <c r="F293" s="3">
        <f>INDEX('02_品质等级'!$C$2:$C$6,MATCH(C293,'02_品质等级'!$A$2:$A$6,0))</f>
        <v/>
      </c>
      <c r="G293" s="3">
        <f>INDEX('03_主属性基础'!$J$2:$J$13,MATCH(D293,'03_主属性基础'!$I$2:$I$13,0))</f>
        <v/>
      </c>
      <c r="H293" s="3">
        <f>E293*F293*G293</f>
        <v/>
      </c>
    </row>
    <row r="294">
      <c r="A294" s="2" t="inlineStr">
        <is>
          <t>腰带</t>
        </is>
      </c>
      <c r="B294" s="3">
        <f>INDEX('03_主属性基础'!$B$2:$B$9,MATCH(A294,'03_主属性基础'!$A$2:$A$9,0))</f>
        <v/>
      </c>
      <c r="C294" s="2" t="inlineStr">
        <is>
          <t>红</t>
        </is>
      </c>
      <c r="D294" s="2" t="n">
        <v>25</v>
      </c>
      <c r="E294" s="3">
        <f>INDEX('03_主属性基础'!$F$2:$F$9,MATCH(B294,'03_主属性基础'!$E$2:$E$9,0))</f>
        <v/>
      </c>
      <c r="F294" s="3">
        <f>INDEX('02_品质等级'!$C$2:$C$6,MATCH(C294,'02_品质等级'!$A$2:$A$6,0))</f>
        <v/>
      </c>
      <c r="G294" s="3">
        <f>INDEX('03_主属性基础'!$J$2:$J$13,MATCH(D294,'03_主属性基础'!$I$2:$I$13,0))</f>
        <v/>
      </c>
      <c r="H294" s="3">
        <f>E294*F294*G294</f>
        <v/>
      </c>
    </row>
    <row r="295">
      <c r="A295" s="2" t="inlineStr">
        <is>
          <t>腰带</t>
        </is>
      </c>
      <c r="B295" s="3">
        <f>INDEX('03_主属性基础'!$B$2:$B$9,MATCH(A295,'03_主属性基础'!$A$2:$A$9,0))</f>
        <v/>
      </c>
      <c r="C295" s="2" t="inlineStr">
        <is>
          <t>红</t>
        </is>
      </c>
      <c r="D295" s="2" t="n">
        <v>30</v>
      </c>
      <c r="E295" s="3">
        <f>INDEX('03_主属性基础'!$F$2:$F$9,MATCH(B295,'03_主属性基础'!$E$2:$E$9,0))</f>
        <v/>
      </c>
      <c r="F295" s="3">
        <f>INDEX('02_品质等级'!$C$2:$C$6,MATCH(C295,'02_品质等级'!$A$2:$A$6,0))</f>
        <v/>
      </c>
      <c r="G295" s="3">
        <f>INDEX('03_主属性基础'!$J$2:$J$13,MATCH(D295,'03_主属性基础'!$I$2:$I$13,0))</f>
        <v/>
      </c>
      <c r="H295" s="3">
        <f>E295*F295*G295</f>
        <v/>
      </c>
    </row>
    <row r="296">
      <c r="A296" s="2" t="inlineStr">
        <is>
          <t>腰带</t>
        </is>
      </c>
      <c r="B296" s="3">
        <f>INDEX('03_主属性基础'!$B$2:$B$9,MATCH(A296,'03_主属性基础'!$A$2:$A$9,0))</f>
        <v/>
      </c>
      <c r="C296" s="2" t="inlineStr">
        <is>
          <t>红</t>
        </is>
      </c>
      <c r="D296" s="2" t="n">
        <v>35</v>
      </c>
      <c r="E296" s="3">
        <f>INDEX('03_主属性基础'!$F$2:$F$9,MATCH(B296,'03_主属性基础'!$E$2:$E$9,0))</f>
        <v/>
      </c>
      <c r="F296" s="3">
        <f>INDEX('02_品质等级'!$C$2:$C$6,MATCH(C296,'02_品质等级'!$A$2:$A$6,0))</f>
        <v/>
      </c>
      <c r="G296" s="3">
        <f>INDEX('03_主属性基础'!$J$2:$J$13,MATCH(D296,'03_主属性基础'!$I$2:$I$13,0))</f>
        <v/>
      </c>
      <c r="H296" s="3">
        <f>E296*F296*G296</f>
        <v/>
      </c>
    </row>
    <row r="297">
      <c r="A297" s="2" t="inlineStr">
        <is>
          <t>腰带</t>
        </is>
      </c>
      <c r="B297" s="3">
        <f>INDEX('03_主属性基础'!$B$2:$B$9,MATCH(A297,'03_主属性基础'!$A$2:$A$9,0))</f>
        <v/>
      </c>
      <c r="C297" s="2" t="inlineStr">
        <is>
          <t>红</t>
        </is>
      </c>
      <c r="D297" s="2" t="n">
        <v>40</v>
      </c>
      <c r="E297" s="3">
        <f>INDEX('03_主属性基础'!$F$2:$F$9,MATCH(B297,'03_主属性基础'!$E$2:$E$9,0))</f>
        <v/>
      </c>
      <c r="F297" s="3">
        <f>INDEX('02_品质等级'!$C$2:$C$6,MATCH(C297,'02_品质等级'!$A$2:$A$6,0))</f>
        <v/>
      </c>
      <c r="G297" s="3">
        <f>INDEX('03_主属性基础'!$J$2:$J$13,MATCH(D297,'03_主属性基础'!$I$2:$I$13,0))</f>
        <v/>
      </c>
      <c r="H297" s="3">
        <f>E297*F297*G297</f>
        <v/>
      </c>
    </row>
    <row r="298">
      <c r="A298" s="2" t="inlineStr">
        <is>
          <t>腰带</t>
        </is>
      </c>
      <c r="B298" s="3">
        <f>INDEX('03_主属性基础'!$B$2:$B$9,MATCH(A298,'03_主属性基础'!$A$2:$A$9,0))</f>
        <v/>
      </c>
      <c r="C298" s="2" t="inlineStr">
        <is>
          <t>红</t>
        </is>
      </c>
      <c r="D298" s="2" t="n">
        <v>45</v>
      </c>
      <c r="E298" s="3">
        <f>INDEX('03_主属性基础'!$F$2:$F$9,MATCH(B298,'03_主属性基础'!$E$2:$E$9,0))</f>
        <v/>
      </c>
      <c r="F298" s="3">
        <f>INDEX('02_品质等级'!$C$2:$C$6,MATCH(C298,'02_品质等级'!$A$2:$A$6,0))</f>
        <v/>
      </c>
      <c r="G298" s="3">
        <f>INDEX('03_主属性基础'!$J$2:$J$13,MATCH(D298,'03_主属性基础'!$I$2:$I$13,0))</f>
        <v/>
      </c>
      <c r="H298" s="3">
        <f>E298*F298*G298</f>
        <v/>
      </c>
    </row>
    <row r="299">
      <c r="A299" s="2" t="inlineStr">
        <is>
          <t>腰带</t>
        </is>
      </c>
      <c r="B299" s="3">
        <f>INDEX('03_主属性基础'!$B$2:$B$9,MATCH(A299,'03_主属性基础'!$A$2:$A$9,0))</f>
        <v/>
      </c>
      <c r="C299" s="2" t="inlineStr">
        <is>
          <t>红</t>
        </is>
      </c>
      <c r="D299" s="2" t="n">
        <v>50</v>
      </c>
      <c r="E299" s="3">
        <f>INDEX('03_主属性基础'!$F$2:$F$9,MATCH(B299,'03_主属性基础'!$E$2:$E$9,0))</f>
        <v/>
      </c>
      <c r="F299" s="3">
        <f>INDEX('02_品质等级'!$C$2:$C$6,MATCH(C299,'02_品质等级'!$A$2:$A$6,0))</f>
        <v/>
      </c>
      <c r="G299" s="3">
        <f>INDEX('03_主属性基础'!$J$2:$J$13,MATCH(D299,'03_主属性基础'!$I$2:$I$13,0))</f>
        <v/>
      </c>
      <c r="H299" s="3">
        <f>E299*F299*G299</f>
        <v/>
      </c>
    </row>
    <row r="300">
      <c r="A300" s="2" t="inlineStr">
        <is>
          <t>腰带</t>
        </is>
      </c>
      <c r="B300" s="3">
        <f>INDEX('03_主属性基础'!$B$2:$B$9,MATCH(A300,'03_主属性基础'!$A$2:$A$9,0))</f>
        <v/>
      </c>
      <c r="C300" s="2" t="inlineStr">
        <is>
          <t>红</t>
        </is>
      </c>
      <c r="D300" s="2" t="n">
        <v>55</v>
      </c>
      <c r="E300" s="3">
        <f>INDEX('03_主属性基础'!$F$2:$F$9,MATCH(B300,'03_主属性基础'!$E$2:$E$9,0))</f>
        <v/>
      </c>
      <c r="F300" s="3">
        <f>INDEX('02_品质等级'!$C$2:$C$6,MATCH(C300,'02_品质等级'!$A$2:$A$6,0))</f>
        <v/>
      </c>
      <c r="G300" s="3">
        <f>INDEX('03_主属性基础'!$J$2:$J$13,MATCH(D300,'03_主属性基础'!$I$2:$I$13,0))</f>
        <v/>
      </c>
      <c r="H300" s="3">
        <f>E300*F300*G300</f>
        <v/>
      </c>
    </row>
    <row r="301">
      <c r="A301" s="2" t="inlineStr">
        <is>
          <t>腰带</t>
        </is>
      </c>
      <c r="B301" s="3">
        <f>INDEX('03_主属性基础'!$B$2:$B$9,MATCH(A301,'03_主属性基础'!$A$2:$A$9,0))</f>
        <v/>
      </c>
      <c r="C301" s="2" t="inlineStr">
        <is>
          <t>红</t>
        </is>
      </c>
      <c r="D301" s="2" t="n">
        <v>60</v>
      </c>
      <c r="E301" s="3">
        <f>INDEX('03_主属性基础'!$F$2:$F$9,MATCH(B301,'03_主属性基础'!$E$2:$E$9,0))</f>
        <v/>
      </c>
      <c r="F301" s="3">
        <f>INDEX('02_品质等级'!$C$2:$C$6,MATCH(C301,'02_品质等级'!$A$2:$A$6,0))</f>
        <v/>
      </c>
      <c r="G301" s="3">
        <f>INDEX('03_主属性基础'!$J$2:$J$13,MATCH(D301,'03_主属性基础'!$I$2:$I$13,0))</f>
        <v/>
      </c>
      <c r="H301" s="3">
        <f>E301*F301*G301</f>
        <v/>
      </c>
    </row>
    <row r="302">
      <c r="A302" s="2" t="inlineStr">
        <is>
          <t>鞋子</t>
        </is>
      </c>
      <c r="B302" s="3">
        <f>INDEX('03_主属性基础'!$B$2:$B$9,MATCH(A302,'03_主属性基础'!$A$2:$A$9,0))</f>
        <v/>
      </c>
      <c r="C302" s="2" t="inlineStr">
        <is>
          <t>绿</t>
        </is>
      </c>
      <c r="D302" s="2" t="n">
        <v>5</v>
      </c>
      <c r="E302" s="3">
        <f>INDEX('03_主属性基础'!$F$2:$F$9,MATCH(B302,'03_主属性基础'!$E$2:$E$9,0))</f>
        <v/>
      </c>
      <c r="F302" s="3">
        <f>INDEX('02_品质等级'!$C$2:$C$6,MATCH(C302,'02_品质等级'!$A$2:$A$6,0))</f>
        <v/>
      </c>
      <c r="G302" s="3">
        <f>INDEX('03_主属性基础'!$J$2:$J$13,MATCH(D302,'03_主属性基础'!$I$2:$I$13,0))</f>
        <v/>
      </c>
      <c r="H302" s="3">
        <f>E302*F302*G302</f>
        <v/>
      </c>
    </row>
    <row r="303">
      <c r="A303" s="2" t="inlineStr">
        <is>
          <t>鞋子</t>
        </is>
      </c>
      <c r="B303" s="3">
        <f>INDEX('03_主属性基础'!$B$2:$B$9,MATCH(A303,'03_主属性基础'!$A$2:$A$9,0))</f>
        <v/>
      </c>
      <c r="C303" s="2" t="inlineStr">
        <is>
          <t>绿</t>
        </is>
      </c>
      <c r="D303" s="2" t="n">
        <v>10</v>
      </c>
      <c r="E303" s="3">
        <f>INDEX('03_主属性基础'!$F$2:$F$9,MATCH(B303,'03_主属性基础'!$E$2:$E$9,0))</f>
        <v/>
      </c>
      <c r="F303" s="3">
        <f>INDEX('02_品质等级'!$C$2:$C$6,MATCH(C303,'02_品质等级'!$A$2:$A$6,0))</f>
        <v/>
      </c>
      <c r="G303" s="3">
        <f>INDEX('03_主属性基础'!$J$2:$J$13,MATCH(D303,'03_主属性基础'!$I$2:$I$13,0))</f>
        <v/>
      </c>
      <c r="H303" s="3">
        <f>E303*F303*G303</f>
        <v/>
      </c>
    </row>
    <row r="304">
      <c r="A304" s="2" t="inlineStr">
        <is>
          <t>鞋子</t>
        </is>
      </c>
      <c r="B304" s="3">
        <f>INDEX('03_主属性基础'!$B$2:$B$9,MATCH(A304,'03_主属性基础'!$A$2:$A$9,0))</f>
        <v/>
      </c>
      <c r="C304" s="2" t="inlineStr">
        <is>
          <t>绿</t>
        </is>
      </c>
      <c r="D304" s="2" t="n">
        <v>15</v>
      </c>
      <c r="E304" s="3">
        <f>INDEX('03_主属性基础'!$F$2:$F$9,MATCH(B304,'03_主属性基础'!$E$2:$E$9,0))</f>
        <v/>
      </c>
      <c r="F304" s="3">
        <f>INDEX('02_品质等级'!$C$2:$C$6,MATCH(C304,'02_品质等级'!$A$2:$A$6,0))</f>
        <v/>
      </c>
      <c r="G304" s="3">
        <f>INDEX('03_主属性基础'!$J$2:$J$13,MATCH(D304,'03_主属性基础'!$I$2:$I$13,0))</f>
        <v/>
      </c>
      <c r="H304" s="3">
        <f>E304*F304*G304</f>
        <v/>
      </c>
    </row>
    <row r="305">
      <c r="A305" s="2" t="inlineStr">
        <is>
          <t>鞋子</t>
        </is>
      </c>
      <c r="B305" s="3">
        <f>INDEX('03_主属性基础'!$B$2:$B$9,MATCH(A305,'03_主属性基础'!$A$2:$A$9,0))</f>
        <v/>
      </c>
      <c r="C305" s="2" t="inlineStr">
        <is>
          <t>绿</t>
        </is>
      </c>
      <c r="D305" s="2" t="n">
        <v>20</v>
      </c>
      <c r="E305" s="3">
        <f>INDEX('03_主属性基础'!$F$2:$F$9,MATCH(B305,'03_主属性基础'!$E$2:$E$9,0))</f>
        <v/>
      </c>
      <c r="F305" s="3">
        <f>INDEX('02_品质等级'!$C$2:$C$6,MATCH(C305,'02_品质等级'!$A$2:$A$6,0))</f>
        <v/>
      </c>
      <c r="G305" s="3">
        <f>INDEX('03_主属性基础'!$J$2:$J$13,MATCH(D305,'03_主属性基础'!$I$2:$I$13,0))</f>
        <v/>
      </c>
      <c r="H305" s="3">
        <f>E305*F305*G305</f>
        <v/>
      </c>
    </row>
    <row r="306">
      <c r="A306" s="2" t="inlineStr">
        <is>
          <t>鞋子</t>
        </is>
      </c>
      <c r="B306" s="3">
        <f>INDEX('03_主属性基础'!$B$2:$B$9,MATCH(A306,'03_主属性基础'!$A$2:$A$9,0))</f>
        <v/>
      </c>
      <c r="C306" s="2" t="inlineStr">
        <is>
          <t>绿</t>
        </is>
      </c>
      <c r="D306" s="2" t="n">
        <v>25</v>
      </c>
      <c r="E306" s="3">
        <f>INDEX('03_主属性基础'!$F$2:$F$9,MATCH(B306,'03_主属性基础'!$E$2:$E$9,0))</f>
        <v/>
      </c>
      <c r="F306" s="3">
        <f>INDEX('02_品质等级'!$C$2:$C$6,MATCH(C306,'02_品质等级'!$A$2:$A$6,0))</f>
        <v/>
      </c>
      <c r="G306" s="3">
        <f>INDEX('03_主属性基础'!$J$2:$J$13,MATCH(D306,'03_主属性基础'!$I$2:$I$13,0))</f>
        <v/>
      </c>
      <c r="H306" s="3">
        <f>E306*F306*G306</f>
        <v/>
      </c>
    </row>
    <row r="307">
      <c r="A307" s="2" t="inlineStr">
        <is>
          <t>鞋子</t>
        </is>
      </c>
      <c r="B307" s="3">
        <f>INDEX('03_主属性基础'!$B$2:$B$9,MATCH(A307,'03_主属性基础'!$A$2:$A$9,0))</f>
        <v/>
      </c>
      <c r="C307" s="2" t="inlineStr">
        <is>
          <t>绿</t>
        </is>
      </c>
      <c r="D307" s="2" t="n">
        <v>30</v>
      </c>
      <c r="E307" s="3">
        <f>INDEX('03_主属性基础'!$F$2:$F$9,MATCH(B307,'03_主属性基础'!$E$2:$E$9,0))</f>
        <v/>
      </c>
      <c r="F307" s="3">
        <f>INDEX('02_品质等级'!$C$2:$C$6,MATCH(C307,'02_品质等级'!$A$2:$A$6,0))</f>
        <v/>
      </c>
      <c r="G307" s="3">
        <f>INDEX('03_主属性基础'!$J$2:$J$13,MATCH(D307,'03_主属性基础'!$I$2:$I$13,0))</f>
        <v/>
      </c>
      <c r="H307" s="3">
        <f>E307*F307*G307</f>
        <v/>
      </c>
    </row>
    <row r="308">
      <c r="A308" s="2" t="inlineStr">
        <is>
          <t>鞋子</t>
        </is>
      </c>
      <c r="B308" s="3">
        <f>INDEX('03_主属性基础'!$B$2:$B$9,MATCH(A308,'03_主属性基础'!$A$2:$A$9,0))</f>
        <v/>
      </c>
      <c r="C308" s="2" t="inlineStr">
        <is>
          <t>绿</t>
        </is>
      </c>
      <c r="D308" s="2" t="n">
        <v>35</v>
      </c>
      <c r="E308" s="3">
        <f>INDEX('03_主属性基础'!$F$2:$F$9,MATCH(B308,'03_主属性基础'!$E$2:$E$9,0))</f>
        <v/>
      </c>
      <c r="F308" s="3">
        <f>INDEX('02_品质等级'!$C$2:$C$6,MATCH(C308,'02_品质等级'!$A$2:$A$6,0))</f>
        <v/>
      </c>
      <c r="G308" s="3">
        <f>INDEX('03_主属性基础'!$J$2:$J$13,MATCH(D308,'03_主属性基础'!$I$2:$I$13,0))</f>
        <v/>
      </c>
      <c r="H308" s="3">
        <f>E308*F308*G308</f>
        <v/>
      </c>
    </row>
    <row r="309">
      <c r="A309" s="2" t="inlineStr">
        <is>
          <t>鞋子</t>
        </is>
      </c>
      <c r="B309" s="3">
        <f>INDEX('03_主属性基础'!$B$2:$B$9,MATCH(A309,'03_主属性基础'!$A$2:$A$9,0))</f>
        <v/>
      </c>
      <c r="C309" s="2" t="inlineStr">
        <is>
          <t>绿</t>
        </is>
      </c>
      <c r="D309" s="2" t="n">
        <v>40</v>
      </c>
      <c r="E309" s="3">
        <f>INDEX('03_主属性基础'!$F$2:$F$9,MATCH(B309,'03_主属性基础'!$E$2:$E$9,0))</f>
        <v/>
      </c>
      <c r="F309" s="3">
        <f>INDEX('02_品质等级'!$C$2:$C$6,MATCH(C309,'02_品质等级'!$A$2:$A$6,0))</f>
        <v/>
      </c>
      <c r="G309" s="3">
        <f>INDEX('03_主属性基础'!$J$2:$J$13,MATCH(D309,'03_主属性基础'!$I$2:$I$13,0))</f>
        <v/>
      </c>
      <c r="H309" s="3">
        <f>E309*F309*G309</f>
        <v/>
      </c>
    </row>
    <row r="310">
      <c r="A310" s="2" t="inlineStr">
        <is>
          <t>鞋子</t>
        </is>
      </c>
      <c r="B310" s="3">
        <f>INDEX('03_主属性基础'!$B$2:$B$9,MATCH(A310,'03_主属性基础'!$A$2:$A$9,0))</f>
        <v/>
      </c>
      <c r="C310" s="2" t="inlineStr">
        <is>
          <t>绿</t>
        </is>
      </c>
      <c r="D310" s="2" t="n">
        <v>45</v>
      </c>
      <c r="E310" s="3">
        <f>INDEX('03_主属性基础'!$F$2:$F$9,MATCH(B310,'03_主属性基础'!$E$2:$E$9,0))</f>
        <v/>
      </c>
      <c r="F310" s="3">
        <f>INDEX('02_品质等级'!$C$2:$C$6,MATCH(C310,'02_品质等级'!$A$2:$A$6,0))</f>
        <v/>
      </c>
      <c r="G310" s="3">
        <f>INDEX('03_主属性基础'!$J$2:$J$13,MATCH(D310,'03_主属性基础'!$I$2:$I$13,0))</f>
        <v/>
      </c>
      <c r="H310" s="3">
        <f>E310*F310*G310</f>
        <v/>
      </c>
    </row>
    <row r="311">
      <c r="A311" s="2" t="inlineStr">
        <is>
          <t>鞋子</t>
        </is>
      </c>
      <c r="B311" s="3">
        <f>INDEX('03_主属性基础'!$B$2:$B$9,MATCH(A311,'03_主属性基础'!$A$2:$A$9,0))</f>
        <v/>
      </c>
      <c r="C311" s="2" t="inlineStr">
        <is>
          <t>绿</t>
        </is>
      </c>
      <c r="D311" s="2" t="n">
        <v>50</v>
      </c>
      <c r="E311" s="3">
        <f>INDEX('03_主属性基础'!$F$2:$F$9,MATCH(B311,'03_主属性基础'!$E$2:$E$9,0))</f>
        <v/>
      </c>
      <c r="F311" s="3">
        <f>INDEX('02_品质等级'!$C$2:$C$6,MATCH(C311,'02_品质等级'!$A$2:$A$6,0))</f>
        <v/>
      </c>
      <c r="G311" s="3">
        <f>INDEX('03_主属性基础'!$J$2:$J$13,MATCH(D311,'03_主属性基础'!$I$2:$I$13,0))</f>
        <v/>
      </c>
      <c r="H311" s="3">
        <f>E311*F311*G311</f>
        <v/>
      </c>
    </row>
    <row r="312">
      <c r="A312" s="2" t="inlineStr">
        <is>
          <t>鞋子</t>
        </is>
      </c>
      <c r="B312" s="3">
        <f>INDEX('03_主属性基础'!$B$2:$B$9,MATCH(A312,'03_主属性基础'!$A$2:$A$9,0))</f>
        <v/>
      </c>
      <c r="C312" s="2" t="inlineStr">
        <is>
          <t>绿</t>
        </is>
      </c>
      <c r="D312" s="2" t="n">
        <v>55</v>
      </c>
      <c r="E312" s="3">
        <f>INDEX('03_主属性基础'!$F$2:$F$9,MATCH(B312,'03_主属性基础'!$E$2:$E$9,0))</f>
        <v/>
      </c>
      <c r="F312" s="3">
        <f>INDEX('02_品质等级'!$C$2:$C$6,MATCH(C312,'02_品质等级'!$A$2:$A$6,0))</f>
        <v/>
      </c>
      <c r="G312" s="3">
        <f>INDEX('03_主属性基础'!$J$2:$J$13,MATCH(D312,'03_主属性基础'!$I$2:$I$13,0))</f>
        <v/>
      </c>
      <c r="H312" s="3">
        <f>E312*F312*G312</f>
        <v/>
      </c>
    </row>
    <row r="313">
      <c r="A313" s="2" t="inlineStr">
        <is>
          <t>鞋子</t>
        </is>
      </c>
      <c r="B313" s="3">
        <f>INDEX('03_主属性基础'!$B$2:$B$9,MATCH(A313,'03_主属性基础'!$A$2:$A$9,0))</f>
        <v/>
      </c>
      <c r="C313" s="2" t="inlineStr">
        <is>
          <t>绿</t>
        </is>
      </c>
      <c r="D313" s="2" t="n">
        <v>60</v>
      </c>
      <c r="E313" s="3">
        <f>INDEX('03_主属性基础'!$F$2:$F$9,MATCH(B313,'03_主属性基础'!$E$2:$E$9,0))</f>
        <v/>
      </c>
      <c r="F313" s="3">
        <f>INDEX('02_品质等级'!$C$2:$C$6,MATCH(C313,'02_品质等级'!$A$2:$A$6,0))</f>
        <v/>
      </c>
      <c r="G313" s="3">
        <f>INDEX('03_主属性基础'!$J$2:$J$13,MATCH(D313,'03_主属性基础'!$I$2:$I$13,0))</f>
        <v/>
      </c>
      <c r="H313" s="3">
        <f>E313*F313*G313</f>
        <v/>
      </c>
    </row>
    <row r="314">
      <c r="A314" s="2" t="inlineStr">
        <is>
          <t>鞋子</t>
        </is>
      </c>
      <c r="B314" s="3">
        <f>INDEX('03_主属性基础'!$B$2:$B$9,MATCH(A314,'03_主属性基础'!$A$2:$A$9,0))</f>
        <v/>
      </c>
      <c r="C314" s="2" t="inlineStr">
        <is>
          <t>蓝</t>
        </is>
      </c>
      <c r="D314" s="2" t="n">
        <v>5</v>
      </c>
      <c r="E314" s="3">
        <f>INDEX('03_主属性基础'!$F$2:$F$9,MATCH(B314,'03_主属性基础'!$E$2:$E$9,0))</f>
        <v/>
      </c>
      <c r="F314" s="3">
        <f>INDEX('02_品质等级'!$C$2:$C$6,MATCH(C314,'02_品质等级'!$A$2:$A$6,0))</f>
        <v/>
      </c>
      <c r="G314" s="3">
        <f>INDEX('03_主属性基础'!$J$2:$J$13,MATCH(D314,'03_主属性基础'!$I$2:$I$13,0))</f>
        <v/>
      </c>
      <c r="H314" s="3">
        <f>E314*F314*G314</f>
        <v/>
      </c>
    </row>
    <row r="315">
      <c r="A315" s="2" t="inlineStr">
        <is>
          <t>鞋子</t>
        </is>
      </c>
      <c r="B315" s="3">
        <f>INDEX('03_主属性基础'!$B$2:$B$9,MATCH(A315,'03_主属性基础'!$A$2:$A$9,0))</f>
        <v/>
      </c>
      <c r="C315" s="2" t="inlineStr">
        <is>
          <t>蓝</t>
        </is>
      </c>
      <c r="D315" s="2" t="n">
        <v>10</v>
      </c>
      <c r="E315" s="3">
        <f>INDEX('03_主属性基础'!$F$2:$F$9,MATCH(B315,'03_主属性基础'!$E$2:$E$9,0))</f>
        <v/>
      </c>
      <c r="F315" s="3">
        <f>INDEX('02_品质等级'!$C$2:$C$6,MATCH(C315,'02_品质等级'!$A$2:$A$6,0))</f>
        <v/>
      </c>
      <c r="G315" s="3">
        <f>INDEX('03_主属性基础'!$J$2:$J$13,MATCH(D315,'03_主属性基础'!$I$2:$I$13,0))</f>
        <v/>
      </c>
      <c r="H315" s="3">
        <f>E315*F315*G315</f>
        <v/>
      </c>
    </row>
    <row r="316">
      <c r="A316" s="2" t="inlineStr">
        <is>
          <t>鞋子</t>
        </is>
      </c>
      <c r="B316" s="3">
        <f>INDEX('03_主属性基础'!$B$2:$B$9,MATCH(A316,'03_主属性基础'!$A$2:$A$9,0))</f>
        <v/>
      </c>
      <c r="C316" s="2" t="inlineStr">
        <is>
          <t>蓝</t>
        </is>
      </c>
      <c r="D316" s="2" t="n">
        <v>15</v>
      </c>
      <c r="E316" s="3">
        <f>INDEX('03_主属性基础'!$F$2:$F$9,MATCH(B316,'03_主属性基础'!$E$2:$E$9,0))</f>
        <v/>
      </c>
      <c r="F316" s="3">
        <f>INDEX('02_品质等级'!$C$2:$C$6,MATCH(C316,'02_品质等级'!$A$2:$A$6,0))</f>
        <v/>
      </c>
      <c r="G316" s="3">
        <f>INDEX('03_主属性基础'!$J$2:$J$13,MATCH(D316,'03_主属性基础'!$I$2:$I$13,0))</f>
        <v/>
      </c>
      <c r="H316" s="3">
        <f>E316*F316*G316</f>
        <v/>
      </c>
    </row>
    <row r="317">
      <c r="A317" s="2" t="inlineStr">
        <is>
          <t>鞋子</t>
        </is>
      </c>
      <c r="B317" s="3">
        <f>INDEX('03_主属性基础'!$B$2:$B$9,MATCH(A317,'03_主属性基础'!$A$2:$A$9,0))</f>
        <v/>
      </c>
      <c r="C317" s="2" t="inlineStr">
        <is>
          <t>蓝</t>
        </is>
      </c>
      <c r="D317" s="2" t="n">
        <v>20</v>
      </c>
      <c r="E317" s="3">
        <f>INDEX('03_主属性基础'!$F$2:$F$9,MATCH(B317,'03_主属性基础'!$E$2:$E$9,0))</f>
        <v/>
      </c>
      <c r="F317" s="3">
        <f>INDEX('02_品质等级'!$C$2:$C$6,MATCH(C317,'02_品质等级'!$A$2:$A$6,0))</f>
        <v/>
      </c>
      <c r="G317" s="3">
        <f>INDEX('03_主属性基础'!$J$2:$J$13,MATCH(D317,'03_主属性基础'!$I$2:$I$13,0))</f>
        <v/>
      </c>
      <c r="H317" s="3">
        <f>E317*F317*G317</f>
        <v/>
      </c>
    </row>
    <row r="318">
      <c r="A318" s="2" t="inlineStr">
        <is>
          <t>鞋子</t>
        </is>
      </c>
      <c r="B318" s="3">
        <f>INDEX('03_主属性基础'!$B$2:$B$9,MATCH(A318,'03_主属性基础'!$A$2:$A$9,0))</f>
        <v/>
      </c>
      <c r="C318" s="2" t="inlineStr">
        <is>
          <t>蓝</t>
        </is>
      </c>
      <c r="D318" s="2" t="n">
        <v>25</v>
      </c>
      <c r="E318" s="3">
        <f>INDEX('03_主属性基础'!$F$2:$F$9,MATCH(B318,'03_主属性基础'!$E$2:$E$9,0))</f>
        <v/>
      </c>
      <c r="F318" s="3">
        <f>INDEX('02_品质等级'!$C$2:$C$6,MATCH(C318,'02_品质等级'!$A$2:$A$6,0))</f>
        <v/>
      </c>
      <c r="G318" s="3">
        <f>INDEX('03_主属性基础'!$J$2:$J$13,MATCH(D318,'03_主属性基础'!$I$2:$I$13,0))</f>
        <v/>
      </c>
      <c r="H318" s="3">
        <f>E318*F318*G318</f>
        <v/>
      </c>
    </row>
    <row r="319">
      <c r="A319" s="2" t="inlineStr">
        <is>
          <t>鞋子</t>
        </is>
      </c>
      <c r="B319" s="3">
        <f>INDEX('03_主属性基础'!$B$2:$B$9,MATCH(A319,'03_主属性基础'!$A$2:$A$9,0))</f>
        <v/>
      </c>
      <c r="C319" s="2" t="inlineStr">
        <is>
          <t>蓝</t>
        </is>
      </c>
      <c r="D319" s="2" t="n">
        <v>30</v>
      </c>
      <c r="E319" s="3">
        <f>INDEX('03_主属性基础'!$F$2:$F$9,MATCH(B319,'03_主属性基础'!$E$2:$E$9,0))</f>
        <v/>
      </c>
      <c r="F319" s="3">
        <f>INDEX('02_品质等级'!$C$2:$C$6,MATCH(C319,'02_品质等级'!$A$2:$A$6,0))</f>
        <v/>
      </c>
      <c r="G319" s="3">
        <f>INDEX('03_主属性基础'!$J$2:$J$13,MATCH(D319,'03_主属性基础'!$I$2:$I$13,0))</f>
        <v/>
      </c>
      <c r="H319" s="3">
        <f>E319*F319*G319</f>
        <v/>
      </c>
    </row>
    <row r="320">
      <c r="A320" s="2" t="inlineStr">
        <is>
          <t>鞋子</t>
        </is>
      </c>
      <c r="B320" s="3">
        <f>INDEX('03_主属性基础'!$B$2:$B$9,MATCH(A320,'03_主属性基础'!$A$2:$A$9,0))</f>
        <v/>
      </c>
      <c r="C320" s="2" t="inlineStr">
        <is>
          <t>蓝</t>
        </is>
      </c>
      <c r="D320" s="2" t="n">
        <v>35</v>
      </c>
      <c r="E320" s="3">
        <f>INDEX('03_主属性基础'!$F$2:$F$9,MATCH(B320,'03_主属性基础'!$E$2:$E$9,0))</f>
        <v/>
      </c>
      <c r="F320" s="3">
        <f>INDEX('02_品质等级'!$C$2:$C$6,MATCH(C320,'02_品质等级'!$A$2:$A$6,0))</f>
        <v/>
      </c>
      <c r="G320" s="3">
        <f>INDEX('03_主属性基础'!$J$2:$J$13,MATCH(D320,'03_主属性基础'!$I$2:$I$13,0))</f>
        <v/>
      </c>
      <c r="H320" s="3">
        <f>E320*F320*G320</f>
        <v/>
      </c>
    </row>
    <row r="321">
      <c r="A321" s="2" t="inlineStr">
        <is>
          <t>鞋子</t>
        </is>
      </c>
      <c r="B321" s="3">
        <f>INDEX('03_主属性基础'!$B$2:$B$9,MATCH(A321,'03_主属性基础'!$A$2:$A$9,0))</f>
        <v/>
      </c>
      <c r="C321" s="2" t="inlineStr">
        <is>
          <t>蓝</t>
        </is>
      </c>
      <c r="D321" s="2" t="n">
        <v>40</v>
      </c>
      <c r="E321" s="3">
        <f>INDEX('03_主属性基础'!$F$2:$F$9,MATCH(B321,'03_主属性基础'!$E$2:$E$9,0))</f>
        <v/>
      </c>
      <c r="F321" s="3">
        <f>INDEX('02_品质等级'!$C$2:$C$6,MATCH(C321,'02_品质等级'!$A$2:$A$6,0))</f>
        <v/>
      </c>
      <c r="G321" s="3">
        <f>INDEX('03_主属性基础'!$J$2:$J$13,MATCH(D321,'03_主属性基础'!$I$2:$I$13,0))</f>
        <v/>
      </c>
      <c r="H321" s="3">
        <f>E321*F321*G321</f>
        <v/>
      </c>
    </row>
    <row r="322">
      <c r="A322" s="2" t="inlineStr">
        <is>
          <t>鞋子</t>
        </is>
      </c>
      <c r="B322" s="3">
        <f>INDEX('03_主属性基础'!$B$2:$B$9,MATCH(A322,'03_主属性基础'!$A$2:$A$9,0))</f>
        <v/>
      </c>
      <c r="C322" s="2" t="inlineStr">
        <is>
          <t>蓝</t>
        </is>
      </c>
      <c r="D322" s="2" t="n">
        <v>45</v>
      </c>
      <c r="E322" s="3">
        <f>INDEX('03_主属性基础'!$F$2:$F$9,MATCH(B322,'03_主属性基础'!$E$2:$E$9,0))</f>
        <v/>
      </c>
      <c r="F322" s="3">
        <f>INDEX('02_品质等级'!$C$2:$C$6,MATCH(C322,'02_品质等级'!$A$2:$A$6,0))</f>
        <v/>
      </c>
      <c r="G322" s="3">
        <f>INDEX('03_主属性基础'!$J$2:$J$13,MATCH(D322,'03_主属性基础'!$I$2:$I$13,0))</f>
        <v/>
      </c>
      <c r="H322" s="3">
        <f>E322*F322*G322</f>
        <v/>
      </c>
    </row>
    <row r="323">
      <c r="A323" s="2" t="inlineStr">
        <is>
          <t>鞋子</t>
        </is>
      </c>
      <c r="B323" s="3">
        <f>INDEX('03_主属性基础'!$B$2:$B$9,MATCH(A323,'03_主属性基础'!$A$2:$A$9,0))</f>
        <v/>
      </c>
      <c r="C323" s="2" t="inlineStr">
        <is>
          <t>蓝</t>
        </is>
      </c>
      <c r="D323" s="2" t="n">
        <v>50</v>
      </c>
      <c r="E323" s="3">
        <f>INDEX('03_主属性基础'!$F$2:$F$9,MATCH(B323,'03_主属性基础'!$E$2:$E$9,0))</f>
        <v/>
      </c>
      <c r="F323" s="3">
        <f>INDEX('02_品质等级'!$C$2:$C$6,MATCH(C323,'02_品质等级'!$A$2:$A$6,0))</f>
        <v/>
      </c>
      <c r="G323" s="3">
        <f>INDEX('03_主属性基础'!$J$2:$J$13,MATCH(D323,'03_主属性基础'!$I$2:$I$13,0))</f>
        <v/>
      </c>
      <c r="H323" s="3">
        <f>E323*F323*G323</f>
        <v/>
      </c>
    </row>
    <row r="324">
      <c r="A324" s="2" t="inlineStr">
        <is>
          <t>鞋子</t>
        </is>
      </c>
      <c r="B324" s="3">
        <f>INDEX('03_主属性基础'!$B$2:$B$9,MATCH(A324,'03_主属性基础'!$A$2:$A$9,0))</f>
        <v/>
      </c>
      <c r="C324" s="2" t="inlineStr">
        <is>
          <t>蓝</t>
        </is>
      </c>
      <c r="D324" s="2" t="n">
        <v>55</v>
      </c>
      <c r="E324" s="3">
        <f>INDEX('03_主属性基础'!$F$2:$F$9,MATCH(B324,'03_主属性基础'!$E$2:$E$9,0))</f>
        <v/>
      </c>
      <c r="F324" s="3">
        <f>INDEX('02_品质等级'!$C$2:$C$6,MATCH(C324,'02_品质等级'!$A$2:$A$6,0))</f>
        <v/>
      </c>
      <c r="G324" s="3">
        <f>INDEX('03_主属性基础'!$J$2:$J$13,MATCH(D324,'03_主属性基础'!$I$2:$I$13,0))</f>
        <v/>
      </c>
      <c r="H324" s="3">
        <f>E324*F324*G324</f>
        <v/>
      </c>
    </row>
    <row r="325">
      <c r="A325" s="2" t="inlineStr">
        <is>
          <t>鞋子</t>
        </is>
      </c>
      <c r="B325" s="3">
        <f>INDEX('03_主属性基础'!$B$2:$B$9,MATCH(A325,'03_主属性基础'!$A$2:$A$9,0))</f>
        <v/>
      </c>
      <c r="C325" s="2" t="inlineStr">
        <is>
          <t>蓝</t>
        </is>
      </c>
      <c r="D325" s="2" t="n">
        <v>60</v>
      </c>
      <c r="E325" s="3">
        <f>INDEX('03_主属性基础'!$F$2:$F$9,MATCH(B325,'03_主属性基础'!$E$2:$E$9,0))</f>
        <v/>
      </c>
      <c r="F325" s="3">
        <f>INDEX('02_品质等级'!$C$2:$C$6,MATCH(C325,'02_品质等级'!$A$2:$A$6,0))</f>
        <v/>
      </c>
      <c r="G325" s="3">
        <f>INDEX('03_主属性基础'!$J$2:$J$13,MATCH(D325,'03_主属性基础'!$I$2:$I$13,0))</f>
        <v/>
      </c>
      <c r="H325" s="3">
        <f>E325*F325*G325</f>
        <v/>
      </c>
    </row>
    <row r="326">
      <c r="A326" s="2" t="inlineStr">
        <is>
          <t>鞋子</t>
        </is>
      </c>
      <c r="B326" s="3">
        <f>INDEX('03_主属性基础'!$B$2:$B$9,MATCH(A326,'03_主属性基础'!$A$2:$A$9,0))</f>
        <v/>
      </c>
      <c r="C326" s="2" t="inlineStr">
        <is>
          <t>紫</t>
        </is>
      </c>
      <c r="D326" s="2" t="n">
        <v>5</v>
      </c>
      <c r="E326" s="3">
        <f>INDEX('03_主属性基础'!$F$2:$F$9,MATCH(B326,'03_主属性基础'!$E$2:$E$9,0))</f>
        <v/>
      </c>
      <c r="F326" s="3">
        <f>INDEX('02_品质等级'!$C$2:$C$6,MATCH(C326,'02_品质等级'!$A$2:$A$6,0))</f>
        <v/>
      </c>
      <c r="G326" s="3">
        <f>INDEX('03_主属性基础'!$J$2:$J$13,MATCH(D326,'03_主属性基础'!$I$2:$I$13,0))</f>
        <v/>
      </c>
      <c r="H326" s="3">
        <f>E326*F326*G326</f>
        <v/>
      </c>
    </row>
    <row r="327">
      <c r="A327" s="2" t="inlineStr">
        <is>
          <t>鞋子</t>
        </is>
      </c>
      <c r="B327" s="3">
        <f>INDEX('03_主属性基础'!$B$2:$B$9,MATCH(A327,'03_主属性基础'!$A$2:$A$9,0))</f>
        <v/>
      </c>
      <c r="C327" s="2" t="inlineStr">
        <is>
          <t>紫</t>
        </is>
      </c>
      <c r="D327" s="2" t="n">
        <v>10</v>
      </c>
      <c r="E327" s="3">
        <f>INDEX('03_主属性基础'!$F$2:$F$9,MATCH(B327,'03_主属性基础'!$E$2:$E$9,0))</f>
        <v/>
      </c>
      <c r="F327" s="3">
        <f>INDEX('02_品质等级'!$C$2:$C$6,MATCH(C327,'02_品质等级'!$A$2:$A$6,0))</f>
        <v/>
      </c>
      <c r="G327" s="3">
        <f>INDEX('03_主属性基础'!$J$2:$J$13,MATCH(D327,'03_主属性基础'!$I$2:$I$13,0))</f>
        <v/>
      </c>
      <c r="H327" s="3">
        <f>E327*F327*G327</f>
        <v/>
      </c>
    </row>
    <row r="328">
      <c r="A328" s="2" t="inlineStr">
        <is>
          <t>鞋子</t>
        </is>
      </c>
      <c r="B328" s="3">
        <f>INDEX('03_主属性基础'!$B$2:$B$9,MATCH(A328,'03_主属性基础'!$A$2:$A$9,0))</f>
        <v/>
      </c>
      <c r="C328" s="2" t="inlineStr">
        <is>
          <t>紫</t>
        </is>
      </c>
      <c r="D328" s="2" t="n">
        <v>15</v>
      </c>
      <c r="E328" s="3">
        <f>INDEX('03_主属性基础'!$F$2:$F$9,MATCH(B328,'03_主属性基础'!$E$2:$E$9,0))</f>
        <v/>
      </c>
      <c r="F328" s="3">
        <f>INDEX('02_品质等级'!$C$2:$C$6,MATCH(C328,'02_品质等级'!$A$2:$A$6,0))</f>
        <v/>
      </c>
      <c r="G328" s="3">
        <f>INDEX('03_主属性基础'!$J$2:$J$13,MATCH(D328,'03_主属性基础'!$I$2:$I$13,0))</f>
        <v/>
      </c>
      <c r="H328" s="3">
        <f>E328*F328*G328</f>
        <v/>
      </c>
    </row>
    <row r="329">
      <c r="A329" s="2" t="inlineStr">
        <is>
          <t>鞋子</t>
        </is>
      </c>
      <c r="B329" s="3">
        <f>INDEX('03_主属性基础'!$B$2:$B$9,MATCH(A329,'03_主属性基础'!$A$2:$A$9,0))</f>
        <v/>
      </c>
      <c r="C329" s="2" t="inlineStr">
        <is>
          <t>紫</t>
        </is>
      </c>
      <c r="D329" s="2" t="n">
        <v>20</v>
      </c>
      <c r="E329" s="3">
        <f>INDEX('03_主属性基础'!$F$2:$F$9,MATCH(B329,'03_主属性基础'!$E$2:$E$9,0))</f>
        <v/>
      </c>
      <c r="F329" s="3">
        <f>INDEX('02_品质等级'!$C$2:$C$6,MATCH(C329,'02_品质等级'!$A$2:$A$6,0))</f>
        <v/>
      </c>
      <c r="G329" s="3">
        <f>INDEX('03_主属性基础'!$J$2:$J$13,MATCH(D329,'03_主属性基础'!$I$2:$I$13,0))</f>
        <v/>
      </c>
      <c r="H329" s="3">
        <f>E329*F329*G329</f>
        <v/>
      </c>
    </row>
    <row r="330">
      <c r="A330" s="2" t="inlineStr">
        <is>
          <t>鞋子</t>
        </is>
      </c>
      <c r="B330" s="3">
        <f>INDEX('03_主属性基础'!$B$2:$B$9,MATCH(A330,'03_主属性基础'!$A$2:$A$9,0))</f>
        <v/>
      </c>
      <c r="C330" s="2" t="inlineStr">
        <is>
          <t>紫</t>
        </is>
      </c>
      <c r="D330" s="2" t="n">
        <v>25</v>
      </c>
      <c r="E330" s="3">
        <f>INDEX('03_主属性基础'!$F$2:$F$9,MATCH(B330,'03_主属性基础'!$E$2:$E$9,0))</f>
        <v/>
      </c>
      <c r="F330" s="3">
        <f>INDEX('02_品质等级'!$C$2:$C$6,MATCH(C330,'02_品质等级'!$A$2:$A$6,0))</f>
        <v/>
      </c>
      <c r="G330" s="3">
        <f>INDEX('03_主属性基础'!$J$2:$J$13,MATCH(D330,'03_主属性基础'!$I$2:$I$13,0))</f>
        <v/>
      </c>
      <c r="H330" s="3">
        <f>E330*F330*G330</f>
        <v/>
      </c>
    </row>
    <row r="331">
      <c r="A331" s="2" t="inlineStr">
        <is>
          <t>鞋子</t>
        </is>
      </c>
      <c r="B331" s="3">
        <f>INDEX('03_主属性基础'!$B$2:$B$9,MATCH(A331,'03_主属性基础'!$A$2:$A$9,0))</f>
        <v/>
      </c>
      <c r="C331" s="2" t="inlineStr">
        <is>
          <t>紫</t>
        </is>
      </c>
      <c r="D331" s="2" t="n">
        <v>30</v>
      </c>
      <c r="E331" s="3">
        <f>INDEX('03_主属性基础'!$F$2:$F$9,MATCH(B331,'03_主属性基础'!$E$2:$E$9,0))</f>
        <v/>
      </c>
      <c r="F331" s="3">
        <f>INDEX('02_品质等级'!$C$2:$C$6,MATCH(C331,'02_品质等级'!$A$2:$A$6,0))</f>
        <v/>
      </c>
      <c r="G331" s="3">
        <f>INDEX('03_主属性基础'!$J$2:$J$13,MATCH(D331,'03_主属性基础'!$I$2:$I$13,0))</f>
        <v/>
      </c>
      <c r="H331" s="3">
        <f>E331*F331*G331</f>
        <v/>
      </c>
    </row>
    <row r="332">
      <c r="A332" s="2" t="inlineStr">
        <is>
          <t>鞋子</t>
        </is>
      </c>
      <c r="B332" s="3">
        <f>INDEX('03_主属性基础'!$B$2:$B$9,MATCH(A332,'03_主属性基础'!$A$2:$A$9,0))</f>
        <v/>
      </c>
      <c r="C332" s="2" t="inlineStr">
        <is>
          <t>紫</t>
        </is>
      </c>
      <c r="D332" s="2" t="n">
        <v>35</v>
      </c>
      <c r="E332" s="3">
        <f>INDEX('03_主属性基础'!$F$2:$F$9,MATCH(B332,'03_主属性基础'!$E$2:$E$9,0))</f>
        <v/>
      </c>
      <c r="F332" s="3">
        <f>INDEX('02_品质等级'!$C$2:$C$6,MATCH(C332,'02_品质等级'!$A$2:$A$6,0))</f>
        <v/>
      </c>
      <c r="G332" s="3">
        <f>INDEX('03_主属性基础'!$J$2:$J$13,MATCH(D332,'03_主属性基础'!$I$2:$I$13,0))</f>
        <v/>
      </c>
      <c r="H332" s="3">
        <f>E332*F332*G332</f>
        <v/>
      </c>
    </row>
    <row r="333">
      <c r="A333" s="2" t="inlineStr">
        <is>
          <t>鞋子</t>
        </is>
      </c>
      <c r="B333" s="3">
        <f>INDEX('03_主属性基础'!$B$2:$B$9,MATCH(A333,'03_主属性基础'!$A$2:$A$9,0))</f>
        <v/>
      </c>
      <c r="C333" s="2" t="inlineStr">
        <is>
          <t>紫</t>
        </is>
      </c>
      <c r="D333" s="2" t="n">
        <v>40</v>
      </c>
      <c r="E333" s="3">
        <f>INDEX('03_主属性基础'!$F$2:$F$9,MATCH(B333,'03_主属性基础'!$E$2:$E$9,0))</f>
        <v/>
      </c>
      <c r="F333" s="3">
        <f>INDEX('02_品质等级'!$C$2:$C$6,MATCH(C333,'02_品质等级'!$A$2:$A$6,0))</f>
        <v/>
      </c>
      <c r="G333" s="3">
        <f>INDEX('03_主属性基础'!$J$2:$J$13,MATCH(D333,'03_主属性基础'!$I$2:$I$13,0))</f>
        <v/>
      </c>
      <c r="H333" s="3">
        <f>E333*F333*G333</f>
        <v/>
      </c>
    </row>
    <row r="334">
      <c r="A334" s="2" t="inlineStr">
        <is>
          <t>鞋子</t>
        </is>
      </c>
      <c r="B334" s="3">
        <f>INDEX('03_主属性基础'!$B$2:$B$9,MATCH(A334,'03_主属性基础'!$A$2:$A$9,0))</f>
        <v/>
      </c>
      <c r="C334" s="2" t="inlineStr">
        <is>
          <t>紫</t>
        </is>
      </c>
      <c r="D334" s="2" t="n">
        <v>45</v>
      </c>
      <c r="E334" s="3">
        <f>INDEX('03_主属性基础'!$F$2:$F$9,MATCH(B334,'03_主属性基础'!$E$2:$E$9,0))</f>
        <v/>
      </c>
      <c r="F334" s="3">
        <f>INDEX('02_品质等级'!$C$2:$C$6,MATCH(C334,'02_品质等级'!$A$2:$A$6,0))</f>
        <v/>
      </c>
      <c r="G334" s="3">
        <f>INDEX('03_主属性基础'!$J$2:$J$13,MATCH(D334,'03_主属性基础'!$I$2:$I$13,0))</f>
        <v/>
      </c>
      <c r="H334" s="3">
        <f>E334*F334*G334</f>
        <v/>
      </c>
    </row>
    <row r="335">
      <c r="A335" s="2" t="inlineStr">
        <is>
          <t>鞋子</t>
        </is>
      </c>
      <c r="B335" s="3">
        <f>INDEX('03_主属性基础'!$B$2:$B$9,MATCH(A335,'03_主属性基础'!$A$2:$A$9,0))</f>
        <v/>
      </c>
      <c r="C335" s="2" t="inlineStr">
        <is>
          <t>紫</t>
        </is>
      </c>
      <c r="D335" s="2" t="n">
        <v>50</v>
      </c>
      <c r="E335" s="3">
        <f>INDEX('03_主属性基础'!$F$2:$F$9,MATCH(B335,'03_主属性基础'!$E$2:$E$9,0))</f>
        <v/>
      </c>
      <c r="F335" s="3">
        <f>INDEX('02_品质等级'!$C$2:$C$6,MATCH(C335,'02_品质等级'!$A$2:$A$6,0))</f>
        <v/>
      </c>
      <c r="G335" s="3">
        <f>INDEX('03_主属性基础'!$J$2:$J$13,MATCH(D335,'03_主属性基础'!$I$2:$I$13,0))</f>
        <v/>
      </c>
      <c r="H335" s="3">
        <f>E335*F335*G335</f>
        <v/>
      </c>
    </row>
    <row r="336">
      <c r="A336" s="2" t="inlineStr">
        <is>
          <t>鞋子</t>
        </is>
      </c>
      <c r="B336" s="3">
        <f>INDEX('03_主属性基础'!$B$2:$B$9,MATCH(A336,'03_主属性基础'!$A$2:$A$9,0))</f>
        <v/>
      </c>
      <c r="C336" s="2" t="inlineStr">
        <is>
          <t>紫</t>
        </is>
      </c>
      <c r="D336" s="2" t="n">
        <v>55</v>
      </c>
      <c r="E336" s="3">
        <f>INDEX('03_主属性基础'!$F$2:$F$9,MATCH(B336,'03_主属性基础'!$E$2:$E$9,0))</f>
        <v/>
      </c>
      <c r="F336" s="3">
        <f>INDEX('02_品质等级'!$C$2:$C$6,MATCH(C336,'02_品质等级'!$A$2:$A$6,0))</f>
        <v/>
      </c>
      <c r="G336" s="3">
        <f>INDEX('03_主属性基础'!$J$2:$J$13,MATCH(D336,'03_主属性基础'!$I$2:$I$13,0))</f>
        <v/>
      </c>
      <c r="H336" s="3">
        <f>E336*F336*G336</f>
        <v/>
      </c>
    </row>
    <row r="337">
      <c r="A337" s="2" t="inlineStr">
        <is>
          <t>鞋子</t>
        </is>
      </c>
      <c r="B337" s="3">
        <f>INDEX('03_主属性基础'!$B$2:$B$9,MATCH(A337,'03_主属性基础'!$A$2:$A$9,0))</f>
        <v/>
      </c>
      <c r="C337" s="2" t="inlineStr">
        <is>
          <t>紫</t>
        </is>
      </c>
      <c r="D337" s="2" t="n">
        <v>60</v>
      </c>
      <c r="E337" s="3">
        <f>INDEX('03_主属性基础'!$F$2:$F$9,MATCH(B337,'03_主属性基础'!$E$2:$E$9,0))</f>
        <v/>
      </c>
      <c r="F337" s="3">
        <f>INDEX('02_品质等级'!$C$2:$C$6,MATCH(C337,'02_品质等级'!$A$2:$A$6,0))</f>
        <v/>
      </c>
      <c r="G337" s="3">
        <f>INDEX('03_主属性基础'!$J$2:$J$13,MATCH(D337,'03_主属性基础'!$I$2:$I$13,0))</f>
        <v/>
      </c>
      <c r="H337" s="3">
        <f>E337*F337*G337</f>
        <v/>
      </c>
    </row>
    <row r="338">
      <c r="A338" s="2" t="inlineStr">
        <is>
          <t>鞋子</t>
        </is>
      </c>
      <c r="B338" s="3">
        <f>INDEX('03_主属性基础'!$B$2:$B$9,MATCH(A338,'03_主属性基础'!$A$2:$A$9,0))</f>
        <v/>
      </c>
      <c r="C338" s="2" t="inlineStr">
        <is>
          <t>金</t>
        </is>
      </c>
      <c r="D338" s="2" t="n">
        <v>5</v>
      </c>
      <c r="E338" s="3">
        <f>INDEX('03_主属性基础'!$F$2:$F$9,MATCH(B338,'03_主属性基础'!$E$2:$E$9,0))</f>
        <v/>
      </c>
      <c r="F338" s="3">
        <f>INDEX('02_品质等级'!$C$2:$C$6,MATCH(C338,'02_品质等级'!$A$2:$A$6,0))</f>
        <v/>
      </c>
      <c r="G338" s="3">
        <f>INDEX('03_主属性基础'!$J$2:$J$13,MATCH(D338,'03_主属性基础'!$I$2:$I$13,0))</f>
        <v/>
      </c>
      <c r="H338" s="3">
        <f>E338*F338*G338</f>
        <v/>
      </c>
    </row>
    <row r="339">
      <c r="A339" s="2" t="inlineStr">
        <is>
          <t>鞋子</t>
        </is>
      </c>
      <c r="B339" s="3">
        <f>INDEX('03_主属性基础'!$B$2:$B$9,MATCH(A339,'03_主属性基础'!$A$2:$A$9,0))</f>
        <v/>
      </c>
      <c r="C339" s="2" t="inlineStr">
        <is>
          <t>金</t>
        </is>
      </c>
      <c r="D339" s="2" t="n">
        <v>10</v>
      </c>
      <c r="E339" s="3">
        <f>INDEX('03_主属性基础'!$F$2:$F$9,MATCH(B339,'03_主属性基础'!$E$2:$E$9,0))</f>
        <v/>
      </c>
      <c r="F339" s="3">
        <f>INDEX('02_品质等级'!$C$2:$C$6,MATCH(C339,'02_品质等级'!$A$2:$A$6,0))</f>
        <v/>
      </c>
      <c r="G339" s="3">
        <f>INDEX('03_主属性基础'!$J$2:$J$13,MATCH(D339,'03_主属性基础'!$I$2:$I$13,0))</f>
        <v/>
      </c>
      <c r="H339" s="3">
        <f>E339*F339*G339</f>
        <v/>
      </c>
    </row>
    <row r="340">
      <c r="A340" s="2" t="inlineStr">
        <is>
          <t>鞋子</t>
        </is>
      </c>
      <c r="B340" s="3">
        <f>INDEX('03_主属性基础'!$B$2:$B$9,MATCH(A340,'03_主属性基础'!$A$2:$A$9,0))</f>
        <v/>
      </c>
      <c r="C340" s="2" t="inlineStr">
        <is>
          <t>金</t>
        </is>
      </c>
      <c r="D340" s="2" t="n">
        <v>15</v>
      </c>
      <c r="E340" s="3">
        <f>INDEX('03_主属性基础'!$F$2:$F$9,MATCH(B340,'03_主属性基础'!$E$2:$E$9,0))</f>
        <v/>
      </c>
      <c r="F340" s="3">
        <f>INDEX('02_品质等级'!$C$2:$C$6,MATCH(C340,'02_品质等级'!$A$2:$A$6,0))</f>
        <v/>
      </c>
      <c r="G340" s="3">
        <f>INDEX('03_主属性基础'!$J$2:$J$13,MATCH(D340,'03_主属性基础'!$I$2:$I$13,0))</f>
        <v/>
      </c>
      <c r="H340" s="3">
        <f>E340*F340*G340</f>
        <v/>
      </c>
    </row>
    <row r="341">
      <c r="A341" s="2" t="inlineStr">
        <is>
          <t>鞋子</t>
        </is>
      </c>
      <c r="B341" s="3">
        <f>INDEX('03_主属性基础'!$B$2:$B$9,MATCH(A341,'03_主属性基础'!$A$2:$A$9,0))</f>
        <v/>
      </c>
      <c r="C341" s="2" t="inlineStr">
        <is>
          <t>金</t>
        </is>
      </c>
      <c r="D341" s="2" t="n">
        <v>20</v>
      </c>
      <c r="E341" s="3">
        <f>INDEX('03_主属性基础'!$F$2:$F$9,MATCH(B341,'03_主属性基础'!$E$2:$E$9,0))</f>
        <v/>
      </c>
      <c r="F341" s="3">
        <f>INDEX('02_品质等级'!$C$2:$C$6,MATCH(C341,'02_品质等级'!$A$2:$A$6,0))</f>
        <v/>
      </c>
      <c r="G341" s="3">
        <f>INDEX('03_主属性基础'!$J$2:$J$13,MATCH(D341,'03_主属性基础'!$I$2:$I$13,0))</f>
        <v/>
      </c>
      <c r="H341" s="3">
        <f>E341*F341*G341</f>
        <v/>
      </c>
    </row>
    <row r="342">
      <c r="A342" s="2" t="inlineStr">
        <is>
          <t>鞋子</t>
        </is>
      </c>
      <c r="B342" s="3">
        <f>INDEX('03_主属性基础'!$B$2:$B$9,MATCH(A342,'03_主属性基础'!$A$2:$A$9,0))</f>
        <v/>
      </c>
      <c r="C342" s="2" t="inlineStr">
        <is>
          <t>金</t>
        </is>
      </c>
      <c r="D342" s="2" t="n">
        <v>25</v>
      </c>
      <c r="E342" s="3">
        <f>INDEX('03_主属性基础'!$F$2:$F$9,MATCH(B342,'03_主属性基础'!$E$2:$E$9,0))</f>
        <v/>
      </c>
      <c r="F342" s="3">
        <f>INDEX('02_品质等级'!$C$2:$C$6,MATCH(C342,'02_品质等级'!$A$2:$A$6,0))</f>
        <v/>
      </c>
      <c r="G342" s="3">
        <f>INDEX('03_主属性基础'!$J$2:$J$13,MATCH(D342,'03_主属性基础'!$I$2:$I$13,0))</f>
        <v/>
      </c>
      <c r="H342" s="3">
        <f>E342*F342*G342</f>
        <v/>
      </c>
    </row>
    <row r="343">
      <c r="A343" s="2" t="inlineStr">
        <is>
          <t>鞋子</t>
        </is>
      </c>
      <c r="B343" s="3">
        <f>INDEX('03_主属性基础'!$B$2:$B$9,MATCH(A343,'03_主属性基础'!$A$2:$A$9,0))</f>
        <v/>
      </c>
      <c r="C343" s="2" t="inlineStr">
        <is>
          <t>金</t>
        </is>
      </c>
      <c r="D343" s="2" t="n">
        <v>30</v>
      </c>
      <c r="E343" s="3">
        <f>INDEX('03_主属性基础'!$F$2:$F$9,MATCH(B343,'03_主属性基础'!$E$2:$E$9,0))</f>
        <v/>
      </c>
      <c r="F343" s="3">
        <f>INDEX('02_品质等级'!$C$2:$C$6,MATCH(C343,'02_品质等级'!$A$2:$A$6,0))</f>
        <v/>
      </c>
      <c r="G343" s="3">
        <f>INDEX('03_主属性基础'!$J$2:$J$13,MATCH(D343,'03_主属性基础'!$I$2:$I$13,0))</f>
        <v/>
      </c>
      <c r="H343" s="3">
        <f>E343*F343*G343</f>
        <v/>
      </c>
    </row>
    <row r="344">
      <c r="A344" s="2" t="inlineStr">
        <is>
          <t>鞋子</t>
        </is>
      </c>
      <c r="B344" s="3">
        <f>INDEX('03_主属性基础'!$B$2:$B$9,MATCH(A344,'03_主属性基础'!$A$2:$A$9,0))</f>
        <v/>
      </c>
      <c r="C344" s="2" t="inlineStr">
        <is>
          <t>金</t>
        </is>
      </c>
      <c r="D344" s="2" t="n">
        <v>35</v>
      </c>
      <c r="E344" s="3">
        <f>INDEX('03_主属性基础'!$F$2:$F$9,MATCH(B344,'03_主属性基础'!$E$2:$E$9,0))</f>
        <v/>
      </c>
      <c r="F344" s="3">
        <f>INDEX('02_品质等级'!$C$2:$C$6,MATCH(C344,'02_品质等级'!$A$2:$A$6,0))</f>
        <v/>
      </c>
      <c r="G344" s="3">
        <f>INDEX('03_主属性基础'!$J$2:$J$13,MATCH(D344,'03_主属性基础'!$I$2:$I$13,0))</f>
        <v/>
      </c>
      <c r="H344" s="3">
        <f>E344*F344*G344</f>
        <v/>
      </c>
    </row>
    <row r="345">
      <c r="A345" s="2" t="inlineStr">
        <is>
          <t>鞋子</t>
        </is>
      </c>
      <c r="B345" s="3">
        <f>INDEX('03_主属性基础'!$B$2:$B$9,MATCH(A345,'03_主属性基础'!$A$2:$A$9,0))</f>
        <v/>
      </c>
      <c r="C345" s="2" t="inlineStr">
        <is>
          <t>金</t>
        </is>
      </c>
      <c r="D345" s="2" t="n">
        <v>40</v>
      </c>
      <c r="E345" s="3">
        <f>INDEX('03_主属性基础'!$F$2:$F$9,MATCH(B345,'03_主属性基础'!$E$2:$E$9,0))</f>
        <v/>
      </c>
      <c r="F345" s="3">
        <f>INDEX('02_品质等级'!$C$2:$C$6,MATCH(C345,'02_品质等级'!$A$2:$A$6,0))</f>
        <v/>
      </c>
      <c r="G345" s="3">
        <f>INDEX('03_主属性基础'!$J$2:$J$13,MATCH(D345,'03_主属性基础'!$I$2:$I$13,0))</f>
        <v/>
      </c>
      <c r="H345" s="3">
        <f>E345*F345*G345</f>
        <v/>
      </c>
    </row>
    <row r="346">
      <c r="A346" s="2" t="inlineStr">
        <is>
          <t>鞋子</t>
        </is>
      </c>
      <c r="B346" s="3">
        <f>INDEX('03_主属性基础'!$B$2:$B$9,MATCH(A346,'03_主属性基础'!$A$2:$A$9,0))</f>
        <v/>
      </c>
      <c r="C346" s="2" t="inlineStr">
        <is>
          <t>金</t>
        </is>
      </c>
      <c r="D346" s="2" t="n">
        <v>45</v>
      </c>
      <c r="E346" s="3">
        <f>INDEX('03_主属性基础'!$F$2:$F$9,MATCH(B346,'03_主属性基础'!$E$2:$E$9,0))</f>
        <v/>
      </c>
      <c r="F346" s="3">
        <f>INDEX('02_品质等级'!$C$2:$C$6,MATCH(C346,'02_品质等级'!$A$2:$A$6,0))</f>
        <v/>
      </c>
      <c r="G346" s="3">
        <f>INDEX('03_主属性基础'!$J$2:$J$13,MATCH(D346,'03_主属性基础'!$I$2:$I$13,0))</f>
        <v/>
      </c>
      <c r="H346" s="3">
        <f>E346*F346*G346</f>
        <v/>
      </c>
    </row>
    <row r="347">
      <c r="A347" s="2" t="inlineStr">
        <is>
          <t>鞋子</t>
        </is>
      </c>
      <c r="B347" s="3">
        <f>INDEX('03_主属性基础'!$B$2:$B$9,MATCH(A347,'03_主属性基础'!$A$2:$A$9,0))</f>
        <v/>
      </c>
      <c r="C347" s="2" t="inlineStr">
        <is>
          <t>金</t>
        </is>
      </c>
      <c r="D347" s="2" t="n">
        <v>50</v>
      </c>
      <c r="E347" s="3">
        <f>INDEX('03_主属性基础'!$F$2:$F$9,MATCH(B347,'03_主属性基础'!$E$2:$E$9,0))</f>
        <v/>
      </c>
      <c r="F347" s="3">
        <f>INDEX('02_品质等级'!$C$2:$C$6,MATCH(C347,'02_品质等级'!$A$2:$A$6,0))</f>
        <v/>
      </c>
      <c r="G347" s="3">
        <f>INDEX('03_主属性基础'!$J$2:$J$13,MATCH(D347,'03_主属性基础'!$I$2:$I$13,0))</f>
        <v/>
      </c>
      <c r="H347" s="3">
        <f>E347*F347*G347</f>
        <v/>
      </c>
    </row>
    <row r="348">
      <c r="A348" s="2" t="inlineStr">
        <is>
          <t>鞋子</t>
        </is>
      </c>
      <c r="B348" s="3">
        <f>INDEX('03_主属性基础'!$B$2:$B$9,MATCH(A348,'03_主属性基础'!$A$2:$A$9,0))</f>
        <v/>
      </c>
      <c r="C348" s="2" t="inlineStr">
        <is>
          <t>金</t>
        </is>
      </c>
      <c r="D348" s="2" t="n">
        <v>55</v>
      </c>
      <c r="E348" s="3">
        <f>INDEX('03_主属性基础'!$F$2:$F$9,MATCH(B348,'03_主属性基础'!$E$2:$E$9,0))</f>
        <v/>
      </c>
      <c r="F348" s="3">
        <f>INDEX('02_品质等级'!$C$2:$C$6,MATCH(C348,'02_品质等级'!$A$2:$A$6,0))</f>
        <v/>
      </c>
      <c r="G348" s="3">
        <f>INDEX('03_主属性基础'!$J$2:$J$13,MATCH(D348,'03_主属性基础'!$I$2:$I$13,0))</f>
        <v/>
      </c>
      <c r="H348" s="3">
        <f>E348*F348*G348</f>
        <v/>
      </c>
    </row>
    <row r="349">
      <c r="A349" s="2" t="inlineStr">
        <is>
          <t>鞋子</t>
        </is>
      </c>
      <c r="B349" s="3">
        <f>INDEX('03_主属性基础'!$B$2:$B$9,MATCH(A349,'03_主属性基础'!$A$2:$A$9,0))</f>
        <v/>
      </c>
      <c r="C349" s="2" t="inlineStr">
        <is>
          <t>金</t>
        </is>
      </c>
      <c r="D349" s="2" t="n">
        <v>60</v>
      </c>
      <c r="E349" s="3">
        <f>INDEX('03_主属性基础'!$F$2:$F$9,MATCH(B349,'03_主属性基础'!$E$2:$E$9,0))</f>
        <v/>
      </c>
      <c r="F349" s="3">
        <f>INDEX('02_品质等级'!$C$2:$C$6,MATCH(C349,'02_品质等级'!$A$2:$A$6,0))</f>
        <v/>
      </c>
      <c r="G349" s="3">
        <f>INDEX('03_主属性基础'!$J$2:$J$13,MATCH(D349,'03_主属性基础'!$I$2:$I$13,0))</f>
        <v/>
      </c>
      <c r="H349" s="3">
        <f>E349*F349*G349</f>
        <v/>
      </c>
    </row>
    <row r="350">
      <c r="A350" s="2" t="inlineStr">
        <is>
          <t>鞋子</t>
        </is>
      </c>
      <c r="B350" s="3">
        <f>INDEX('03_主属性基础'!$B$2:$B$9,MATCH(A350,'03_主属性基础'!$A$2:$A$9,0))</f>
        <v/>
      </c>
      <c r="C350" s="2" t="inlineStr">
        <is>
          <t>红</t>
        </is>
      </c>
      <c r="D350" s="2" t="n">
        <v>5</v>
      </c>
      <c r="E350" s="3">
        <f>INDEX('03_主属性基础'!$F$2:$F$9,MATCH(B350,'03_主属性基础'!$E$2:$E$9,0))</f>
        <v/>
      </c>
      <c r="F350" s="3">
        <f>INDEX('02_品质等级'!$C$2:$C$6,MATCH(C350,'02_品质等级'!$A$2:$A$6,0))</f>
        <v/>
      </c>
      <c r="G350" s="3">
        <f>INDEX('03_主属性基础'!$J$2:$J$13,MATCH(D350,'03_主属性基础'!$I$2:$I$13,0))</f>
        <v/>
      </c>
      <c r="H350" s="3">
        <f>E350*F350*G350</f>
        <v/>
      </c>
    </row>
    <row r="351">
      <c r="A351" s="2" t="inlineStr">
        <is>
          <t>鞋子</t>
        </is>
      </c>
      <c r="B351" s="3">
        <f>INDEX('03_主属性基础'!$B$2:$B$9,MATCH(A351,'03_主属性基础'!$A$2:$A$9,0))</f>
        <v/>
      </c>
      <c r="C351" s="2" t="inlineStr">
        <is>
          <t>红</t>
        </is>
      </c>
      <c r="D351" s="2" t="n">
        <v>10</v>
      </c>
      <c r="E351" s="3">
        <f>INDEX('03_主属性基础'!$F$2:$F$9,MATCH(B351,'03_主属性基础'!$E$2:$E$9,0))</f>
        <v/>
      </c>
      <c r="F351" s="3">
        <f>INDEX('02_品质等级'!$C$2:$C$6,MATCH(C351,'02_品质等级'!$A$2:$A$6,0))</f>
        <v/>
      </c>
      <c r="G351" s="3">
        <f>INDEX('03_主属性基础'!$J$2:$J$13,MATCH(D351,'03_主属性基础'!$I$2:$I$13,0))</f>
        <v/>
      </c>
      <c r="H351" s="3">
        <f>E351*F351*G351</f>
        <v/>
      </c>
    </row>
    <row r="352">
      <c r="A352" s="2" t="inlineStr">
        <is>
          <t>鞋子</t>
        </is>
      </c>
      <c r="B352" s="3">
        <f>INDEX('03_主属性基础'!$B$2:$B$9,MATCH(A352,'03_主属性基础'!$A$2:$A$9,0))</f>
        <v/>
      </c>
      <c r="C352" s="2" t="inlineStr">
        <is>
          <t>红</t>
        </is>
      </c>
      <c r="D352" s="2" t="n">
        <v>15</v>
      </c>
      <c r="E352" s="3">
        <f>INDEX('03_主属性基础'!$F$2:$F$9,MATCH(B352,'03_主属性基础'!$E$2:$E$9,0))</f>
        <v/>
      </c>
      <c r="F352" s="3">
        <f>INDEX('02_品质等级'!$C$2:$C$6,MATCH(C352,'02_品质等级'!$A$2:$A$6,0))</f>
        <v/>
      </c>
      <c r="G352" s="3">
        <f>INDEX('03_主属性基础'!$J$2:$J$13,MATCH(D352,'03_主属性基础'!$I$2:$I$13,0))</f>
        <v/>
      </c>
      <c r="H352" s="3">
        <f>E352*F352*G352</f>
        <v/>
      </c>
    </row>
    <row r="353">
      <c r="A353" s="2" t="inlineStr">
        <is>
          <t>鞋子</t>
        </is>
      </c>
      <c r="B353" s="3">
        <f>INDEX('03_主属性基础'!$B$2:$B$9,MATCH(A353,'03_主属性基础'!$A$2:$A$9,0))</f>
        <v/>
      </c>
      <c r="C353" s="2" t="inlineStr">
        <is>
          <t>红</t>
        </is>
      </c>
      <c r="D353" s="2" t="n">
        <v>20</v>
      </c>
      <c r="E353" s="3">
        <f>INDEX('03_主属性基础'!$F$2:$F$9,MATCH(B353,'03_主属性基础'!$E$2:$E$9,0))</f>
        <v/>
      </c>
      <c r="F353" s="3">
        <f>INDEX('02_品质等级'!$C$2:$C$6,MATCH(C353,'02_品质等级'!$A$2:$A$6,0))</f>
        <v/>
      </c>
      <c r="G353" s="3">
        <f>INDEX('03_主属性基础'!$J$2:$J$13,MATCH(D353,'03_主属性基础'!$I$2:$I$13,0))</f>
        <v/>
      </c>
      <c r="H353" s="3">
        <f>E353*F353*G353</f>
        <v/>
      </c>
    </row>
    <row r="354">
      <c r="A354" s="2" t="inlineStr">
        <is>
          <t>鞋子</t>
        </is>
      </c>
      <c r="B354" s="3">
        <f>INDEX('03_主属性基础'!$B$2:$B$9,MATCH(A354,'03_主属性基础'!$A$2:$A$9,0))</f>
        <v/>
      </c>
      <c r="C354" s="2" t="inlineStr">
        <is>
          <t>红</t>
        </is>
      </c>
      <c r="D354" s="2" t="n">
        <v>25</v>
      </c>
      <c r="E354" s="3">
        <f>INDEX('03_主属性基础'!$F$2:$F$9,MATCH(B354,'03_主属性基础'!$E$2:$E$9,0))</f>
        <v/>
      </c>
      <c r="F354" s="3">
        <f>INDEX('02_品质等级'!$C$2:$C$6,MATCH(C354,'02_品质等级'!$A$2:$A$6,0))</f>
        <v/>
      </c>
      <c r="G354" s="3">
        <f>INDEX('03_主属性基础'!$J$2:$J$13,MATCH(D354,'03_主属性基础'!$I$2:$I$13,0))</f>
        <v/>
      </c>
      <c r="H354" s="3">
        <f>E354*F354*G354</f>
        <v/>
      </c>
    </row>
    <row r="355">
      <c r="A355" s="2" t="inlineStr">
        <is>
          <t>鞋子</t>
        </is>
      </c>
      <c r="B355" s="3">
        <f>INDEX('03_主属性基础'!$B$2:$B$9,MATCH(A355,'03_主属性基础'!$A$2:$A$9,0))</f>
        <v/>
      </c>
      <c r="C355" s="2" t="inlineStr">
        <is>
          <t>红</t>
        </is>
      </c>
      <c r="D355" s="2" t="n">
        <v>30</v>
      </c>
      <c r="E355" s="3">
        <f>INDEX('03_主属性基础'!$F$2:$F$9,MATCH(B355,'03_主属性基础'!$E$2:$E$9,0))</f>
        <v/>
      </c>
      <c r="F355" s="3">
        <f>INDEX('02_品质等级'!$C$2:$C$6,MATCH(C355,'02_品质等级'!$A$2:$A$6,0))</f>
        <v/>
      </c>
      <c r="G355" s="3">
        <f>INDEX('03_主属性基础'!$J$2:$J$13,MATCH(D355,'03_主属性基础'!$I$2:$I$13,0))</f>
        <v/>
      </c>
      <c r="H355" s="3">
        <f>E355*F355*G355</f>
        <v/>
      </c>
    </row>
    <row r="356">
      <c r="A356" s="2" t="inlineStr">
        <is>
          <t>鞋子</t>
        </is>
      </c>
      <c r="B356" s="3">
        <f>INDEX('03_主属性基础'!$B$2:$B$9,MATCH(A356,'03_主属性基础'!$A$2:$A$9,0))</f>
        <v/>
      </c>
      <c r="C356" s="2" t="inlineStr">
        <is>
          <t>红</t>
        </is>
      </c>
      <c r="D356" s="2" t="n">
        <v>35</v>
      </c>
      <c r="E356" s="3">
        <f>INDEX('03_主属性基础'!$F$2:$F$9,MATCH(B356,'03_主属性基础'!$E$2:$E$9,0))</f>
        <v/>
      </c>
      <c r="F356" s="3">
        <f>INDEX('02_品质等级'!$C$2:$C$6,MATCH(C356,'02_品质等级'!$A$2:$A$6,0))</f>
        <v/>
      </c>
      <c r="G356" s="3">
        <f>INDEX('03_主属性基础'!$J$2:$J$13,MATCH(D356,'03_主属性基础'!$I$2:$I$13,0))</f>
        <v/>
      </c>
      <c r="H356" s="3">
        <f>E356*F356*G356</f>
        <v/>
      </c>
    </row>
    <row r="357">
      <c r="A357" s="2" t="inlineStr">
        <is>
          <t>鞋子</t>
        </is>
      </c>
      <c r="B357" s="3">
        <f>INDEX('03_主属性基础'!$B$2:$B$9,MATCH(A357,'03_主属性基础'!$A$2:$A$9,0))</f>
        <v/>
      </c>
      <c r="C357" s="2" t="inlineStr">
        <is>
          <t>红</t>
        </is>
      </c>
      <c r="D357" s="2" t="n">
        <v>40</v>
      </c>
      <c r="E357" s="3">
        <f>INDEX('03_主属性基础'!$F$2:$F$9,MATCH(B357,'03_主属性基础'!$E$2:$E$9,0))</f>
        <v/>
      </c>
      <c r="F357" s="3">
        <f>INDEX('02_品质等级'!$C$2:$C$6,MATCH(C357,'02_品质等级'!$A$2:$A$6,0))</f>
        <v/>
      </c>
      <c r="G357" s="3">
        <f>INDEX('03_主属性基础'!$J$2:$J$13,MATCH(D357,'03_主属性基础'!$I$2:$I$13,0))</f>
        <v/>
      </c>
      <c r="H357" s="3">
        <f>E357*F357*G357</f>
        <v/>
      </c>
    </row>
    <row r="358">
      <c r="A358" s="2" t="inlineStr">
        <is>
          <t>鞋子</t>
        </is>
      </c>
      <c r="B358" s="3">
        <f>INDEX('03_主属性基础'!$B$2:$B$9,MATCH(A358,'03_主属性基础'!$A$2:$A$9,0))</f>
        <v/>
      </c>
      <c r="C358" s="2" t="inlineStr">
        <is>
          <t>红</t>
        </is>
      </c>
      <c r="D358" s="2" t="n">
        <v>45</v>
      </c>
      <c r="E358" s="3">
        <f>INDEX('03_主属性基础'!$F$2:$F$9,MATCH(B358,'03_主属性基础'!$E$2:$E$9,0))</f>
        <v/>
      </c>
      <c r="F358" s="3">
        <f>INDEX('02_品质等级'!$C$2:$C$6,MATCH(C358,'02_品质等级'!$A$2:$A$6,0))</f>
        <v/>
      </c>
      <c r="G358" s="3">
        <f>INDEX('03_主属性基础'!$J$2:$J$13,MATCH(D358,'03_主属性基础'!$I$2:$I$13,0))</f>
        <v/>
      </c>
      <c r="H358" s="3">
        <f>E358*F358*G358</f>
        <v/>
      </c>
    </row>
    <row r="359">
      <c r="A359" s="2" t="inlineStr">
        <is>
          <t>鞋子</t>
        </is>
      </c>
      <c r="B359" s="3">
        <f>INDEX('03_主属性基础'!$B$2:$B$9,MATCH(A359,'03_主属性基础'!$A$2:$A$9,0))</f>
        <v/>
      </c>
      <c r="C359" s="2" t="inlineStr">
        <is>
          <t>红</t>
        </is>
      </c>
      <c r="D359" s="2" t="n">
        <v>50</v>
      </c>
      <c r="E359" s="3">
        <f>INDEX('03_主属性基础'!$F$2:$F$9,MATCH(B359,'03_主属性基础'!$E$2:$E$9,0))</f>
        <v/>
      </c>
      <c r="F359" s="3">
        <f>INDEX('02_品质等级'!$C$2:$C$6,MATCH(C359,'02_品质等级'!$A$2:$A$6,0))</f>
        <v/>
      </c>
      <c r="G359" s="3">
        <f>INDEX('03_主属性基础'!$J$2:$J$13,MATCH(D359,'03_主属性基础'!$I$2:$I$13,0))</f>
        <v/>
      </c>
      <c r="H359" s="3">
        <f>E359*F359*G359</f>
        <v/>
      </c>
    </row>
    <row r="360">
      <c r="A360" s="2" t="inlineStr">
        <is>
          <t>鞋子</t>
        </is>
      </c>
      <c r="B360" s="3">
        <f>INDEX('03_主属性基础'!$B$2:$B$9,MATCH(A360,'03_主属性基础'!$A$2:$A$9,0))</f>
        <v/>
      </c>
      <c r="C360" s="2" t="inlineStr">
        <is>
          <t>红</t>
        </is>
      </c>
      <c r="D360" s="2" t="n">
        <v>55</v>
      </c>
      <c r="E360" s="3">
        <f>INDEX('03_主属性基础'!$F$2:$F$9,MATCH(B360,'03_主属性基础'!$E$2:$E$9,0))</f>
        <v/>
      </c>
      <c r="F360" s="3">
        <f>INDEX('02_品质等级'!$C$2:$C$6,MATCH(C360,'02_品质等级'!$A$2:$A$6,0))</f>
        <v/>
      </c>
      <c r="G360" s="3">
        <f>INDEX('03_主属性基础'!$J$2:$J$13,MATCH(D360,'03_主属性基础'!$I$2:$I$13,0))</f>
        <v/>
      </c>
      <c r="H360" s="3">
        <f>E360*F360*G360</f>
        <v/>
      </c>
    </row>
    <row r="361">
      <c r="A361" s="2" t="inlineStr">
        <is>
          <t>鞋子</t>
        </is>
      </c>
      <c r="B361" s="3">
        <f>INDEX('03_主属性基础'!$B$2:$B$9,MATCH(A361,'03_主属性基础'!$A$2:$A$9,0))</f>
        <v/>
      </c>
      <c r="C361" s="2" t="inlineStr">
        <is>
          <t>红</t>
        </is>
      </c>
      <c r="D361" s="2" t="n">
        <v>60</v>
      </c>
      <c r="E361" s="3">
        <f>INDEX('03_主属性基础'!$F$2:$F$9,MATCH(B361,'03_主属性基础'!$E$2:$E$9,0))</f>
        <v/>
      </c>
      <c r="F361" s="3">
        <f>INDEX('02_品质等级'!$C$2:$C$6,MATCH(C361,'02_品质等级'!$A$2:$A$6,0))</f>
        <v/>
      </c>
      <c r="G361" s="3">
        <f>INDEX('03_主属性基础'!$J$2:$J$13,MATCH(D361,'03_主属性基础'!$I$2:$I$13,0))</f>
        <v/>
      </c>
      <c r="H361" s="3">
        <f>E361*F361*G361</f>
        <v/>
      </c>
    </row>
    <row r="362">
      <c r="A362" s="2" t="inlineStr">
        <is>
          <t>装置</t>
        </is>
      </c>
      <c r="B362" s="3">
        <f>INDEX('03_主属性基础'!$B$2:$B$9,MATCH(A362,'03_主属性基础'!$A$2:$A$9,0))</f>
        <v/>
      </c>
      <c r="C362" s="2" t="inlineStr">
        <is>
          <t>绿</t>
        </is>
      </c>
      <c r="D362" s="2" t="n">
        <v>5</v>
      </c>
      <c r="E362" s="3">
        <f>INDEX('03_主属性基础'!$F$2:$F$9,MATCH(B362,'03_主属性基础'!$E$2:$E$9,0))</f>
        <v/>
      </c>
      <c r="F362" s="3">
        <f>INDEX('02_品质等级'!$C$2:$C$6,MATCH(C362,'02_品质等级'!$A$2:$A$6,0))</f>
        <v/>
      </c>
      <c r="G362" s="3">
        <f>INDEX('03_主属性基础'!$J$2:$J$13,MATCH(D362,'03_主属性基础'!$I$2:$I$13,0))</f>
        <v/>
      </c>
      <c r="H362" s="3">
        <f>E362*F362*G362</f>
        <v/>
      </c>
    </row>
    <row r="363">
      <c r="A363" s="2" t="inlineStr">
        <is>
          <t>装置</t>
        </is>
      </c>
      <c r="B363" s="3">
        <f>INDEX('03_主属性基础'!$B$2:$B$9,MATCH(A363,'03_主属性基础'!$A$2:$A$9,0))</f>
        <v/>
      </c>
      <c r="C363" s="2" t="inlineStr">
        <is>
          <t>绿</t>
        </is>
      </c>
      <c r="D363" s="2" t="n">
        <v>10</v>
      </c>
      <c r="E363" s="3">
        <f>INDEX('03_主属性基础'!$F$2:$F$9,MATCH(B363,'03_主属性基础'!$E$2:$E$9,0))</f>
        <v/>
      </c>
      <c r="F363" s="3">
        <f>INDEX('02_品质等级'!$C$2:$C$6,MATCH(C363,'02_品质等级'!$A$2:$A$6,0))</f>
        <v/>
      </c>
      <c r="G363" s="3">
        <f>INDEX('03_主属性基础'!$J$2:$J$13,MATCH(D363,'03_主属性基础'!$I$2:$I$13,0))</f>
        <v/>
      </c>
      <c r="H363" s="3">
        <f>E363*F363*G363</f>
        <v/>
      </c>
    </row>
    <row r="364">
      <c r="A364" s="2" t="inlineStr">
        <is>
          <t>装置</t>
        </is>
      </c>
      <c r="B364" s="3">
        <f>INDEX('03_主属性基础'!$B$2:$B$9,MATCH(A364,'03_主属性基础'!$A$2:$A$9,0))</f>
        <v/>
      </c>
      <c r="C364" s="2" t="inlineStr">
        <is>
          <t>绿</t>
        </is>
      </c>
      <c r="D364" s="2" t="n">
        <v>15</v>
      </c>
      <c r="E364" s="3">
        <f>INDEX('03_主属性基础'!$F$2:$F$9,MATCH(B364,'03_主属性基础'!$E$2:$E$9,0))</f>
        <v/>
      </c>
      <c r="F364" s="3">
        <f>INDEX('02_品质等级'!$C$2:$C$6,MATCH(C364,'02_品质等级'!$A$2:$A$6,0))</f>
        <v/>
      </c>
      <c r="G364" s="3">
        <f>INDEX('03_主属性基础'!$J$2:$J$13,MATCH(D364,'03_主属性基础'!$I$2:$I$13,0))</f>
        <v/>
      </c>
      <c r="H364" s="3">
        <f>E364*F364*G364</f>
        <v/>
      </c>
    </row>
    <row r="365">
      <c r="A365" s="2" t="inlineStr">
        <is>
          <t>装置</t>
        </is>
      </c>
      <c r="B365" s="3">
        <f>INDEX('03_主属性基础'!$B$2:$B$9,MATCH(A365,'03_主属性基础'!$A$2:$A$9,0))</f>
        <v/>
      </c>
      <c r="C365" s="2" t="inlineStr">
        <is>
          <t>绿</t>
        </is>
      </c>
      <c r="D365" s="2" t="n">
        <v>20</v>
      </c>
      <c r="E365" s="3">
        <f>INDEX('03_主属性基础'!$F$2:$F$9,MATCH(B365,'03_主属性基础'!$E$2:$E$9,0))</f>
        <v/>
      </c>
      <c r="F365" s="3">
        <f>INDEX('02_品质等级'!$C$2:$C$6,MATCH(C365,'02_品质等级'!$A$2:$A$6,0))</f>
        <v/>
      </c>
      <c r="G365" s="3">
        <f>INDEX('03_主属性基础'!$J$2:$J$13,MATCH(D365,'03_主属性基础'!$I$2:$I$13,0))</f>
        <v/>
      </c>
      <c r="H365" s="3">
        <f>E365*F365*G365</f>
        <v/>
      </c>
    </row>
    <row r="366">
      <c r="A366" s="2" t="inlineStr">
        <is>
          <t>装置</t>
        </is>
      </c>
      <c r="B366" s="3">
        <f>INDEX('03_主属性基础'!$B$2:$B$9,MATCH(A366,'03_主属性基础'!$A$2:$A$9,0))</f>
        <v/>
      </c>
      <c r="C366" s="2" t="inlineStr">
        <is>
          <t>绿</t>
        </is>
      </c>
      <c r="D366" s="2" t="n">
        <v>25</v>
      </c>
      <c r="E366" s="3">
        <f>INDEX('03_主属性基础'!$F$2:$F$9,MATCH(B366,'03_主属性基础'!$E$2:$E$9,0))</f>
        <v/>
      </c>
      <c r="F366" s="3">
        <f>INDEX('02_品质等级'!$C$2:$C$6,MATCH(C366,'02_品质等级'!$A$2:$A$6,0))</f>
        <v/>
      </c>
      <c r="G366" s="3">
        <f>INDEX('03_主属性基础'!$J$2:$J$13,MATCH(D366,'03_主属性基础'!$I$2:$I$13,0))</f>
        <v/>
      </c>
      <c r="H366" s="3">
        <f>E366*F366*G366</f>
        <v/>
      </c>
    </row>
    <row r="367">
      <c r="A367" s="2" t="inlineStr">
        <is>
          <t>装置</t>
        </is>
      </c>
      <c r="B367" s="3">
        <f>INDEX('03_主属性基础'!$B$2:$B$9,MATCH(A367,'03_主属性基础'!$A$2:$A$9,0))</f>
        <v/>
      </c>
      <c r="C367" s="2" t="inlineStr">
        <is>
          <t>绿</t>
        </is>
      </c>
      <c r="D367" s="2" t="n">
        <v>30</v>
      </c>
      <c r="E367" s="3">
        <f>INDEX('03_主属性基础'!$F$2:$F$9,MATCH(B367,'03_主属性基础'!$E$2:$E$9,0))</f>
        <v/>
      </c>
      <c r="F367" s="3">
        <f>INDEX('02_品质等级'!$C$2:$C$6,MATCH(C367,'02_品质等级'!$A$2:$A$6,0))</f>
        <v/>
      </c>
      <c r="G367" s="3">
        <f>INDEX('03_主属性基础'!$J$2:$J$13,MATCH(D367,'03_主属性基础'!$I$2:$I$13,0))</f>
        <v/>
      </c>
      <c r="H367" s="3">
        <f>E367*F367*G367</f>
        <v/>
      </c>
    </row>
    <row r="368">
      <c r="A368" s="2" t="inlineStr">
        <is>
          <t>装置</t>
        </is>
      </c>
      <c r="B368" s="3">
        <f>INDEX('03_主属性基础'!$B$2:$B$9,MATCH(A368,'03_主属性基础'!$A$2:$A$9,0))</f>
        <v/>
      </c>
      <c r="C368" s="2" t="inlineStr">
        <is>
          <t>绿</t>
        </is>
      </c>
      <c r="D368" s="2" t="n">
        <v>35</v>
      </c>
      <c r="E368" s="3">
        <f>INDEX('03_主属性基础'!$F$2:$F$9,MATCH(B368,'03_主属性基础'!$E$2:$E$9,0))</f>
        <v/>
      </c>
      <c r="F368" s="3">
        <f>INDEX('02_品质等级'!$C$2:$C$6,MATCH(C368,'02_品质等级'!$A$2:$A$6,0))</f>
        <v/>
      </c>
      <c r="G368" s="3">
        <f>INDEX('03_主属性基础'!$J$2:$J$13,MATCH(D368,'03_主属性基础'!$I$2:$I$13,0))</f>
        <v/>
      </c>
      <c r="H368" s="3">
        <f>E368*F368*G368</f>
        <v/>
      </c>
    </row>
    <row r="369">
      <c r="A369" s="2" t="inlineStr">
        <is>
          <t>装置</t>
        </is>
      </c>
      <c r="B369" s="3">
        <f>INDEX('03_主属性基础'!$B$2:$B$9,MATCH(A369,'03_主属性基础'!$A$2:$A$9,0))</f>
        <v/>
      </c>
      <c r="C369" s="2" t="inlineStr">
        <is>
          <t>绿</t>
        </is>
      </c>
      <c r="D369" s="2" t="n">
        <v>40</v>
      </c>
      <c r="E369" s="3">
        <f>INDEX('03_主属性基础'!$F$2:$F$9,MATCH(B369,'03_主属性基础'!$E$2:$E$9,0))</f>
        <v/>
      </c>
      <c r="F369" s="3">
        <f>INDEX('02_品质等级'!$C$2:$C$6,MATCH(C369,'02_品质等级'!$A$2:$A$6,0))</f>
        <v/>
      </c>
      <c r="G369" s="3">
        <f>INDEX('03_主属性基础'!$J$2:$J$13,MATCH(D369,'03_主属性基础'!$I$2:$I$13,0))</f>
        <v/>
      </c>
      <c r="H369" s="3">
        <f>E369*F369*G369</f>
        <v/>
      </c>
    </row>
    <row r="370">
      <c r="A370" s="2" t="inlineStr">
        <is>
          <t>装置</t>
        </is>
      </c>
      <c r="B370" s="3">
        <f>INDEX('03_主属性基础'!$B$2:$B$9,MATCH(A370,'03_主属性基础'!$A$2:$A$9,0))</f>
        <v/>
      </c>
      <c r="C370" s="2" t="inlineStr">
        <is>
          <t>绿</t>
        </is>
      </c>
      <c r="D370" s="2" t="n">
        <v>45</v>
      </c>
      <c r="E370" s="3">
        <f>INDEX('03_主属性基础'!$F$2:$F$9,MATCH(B370,'03_主属性基础'!$E$2:$E$9,0))</f>
        <v/>
      </c>
      <c r="F370" s="3">
        <f>INDEX('02_品质等级'!$C$2:$C$6,MATCH(C370,'02_品质等级'!$A$2:$A$6,0))</f>
        <v/>
      </c>
      <c r="G370" s="3">
        <f>INDEX('03_主属性基础'!$J$2:$J$13,MATCH(D370,'03_主属性基础'!$I$2:$I$13,0))</f>
        <v/>
      </c>
      <c r="H370" s="3">
        <f>E370*F370*G370</f>
        <v/>
      </c>
    </row>
    <row r="371">
      <c r="A371" s="2" t="inlineStr">
        <is>
          <t>装置</t>
        </is>
      </c>
      <c r="B371" s="3">
        <f>INDEX('03_主属性基础'!$B$2:$B$9,MATCH(A371,'03_主属性基础'!$A$2:$A$9,0))</f>
        <v/>
      </c>
      <c r="C371" s="2" t="inlineStr">
        <is>
          <t>绿</t>
        </is>
      </c>
      <c r="D371" s="2" t="n">
        <v>50</v>
      </c>
      <c r="E371" s="3">
        <f>INDEX('03_主属性基础'!$F$2:$F$9,MATCH(B371,'03_主属性基础'!$E$2:$E$9,0))</f>
        <v/>
      </c>
      <c r="F371" s="3">
        <f>INDEX('02_品质等级'!$C$2:$C$6,MATCH(C371,'02_品质等级'!$A$2:$A$6,0))</f>
        <v/>
      </c>
      <c r="G371" s="3">
        <f>INDEX('03_主属性基础'!$J$2:$J$13,MATCH(D371,'03_主属性基础'!$I$2:$I$13,0))</f>
        <v/>
      </c>
      <c r="H371" s="3">
        <f>E371*F371*G371</f>
        <v/>
      </c>
    </row>
    <row r="372">
      <c r="A372" s="2" t="inlineStr">
        <is>
          <t>装置</t>
        </is>
      </c>
      <c r="B372" s="3">
        <f>INDEX('03_主属性基础'!$B$2:$B$9,MATCH(A372,'03_主属性基础'!$A$2:$A$9,0))</f>
        <v/>
      </c>
      <c r="C372" s="2" t="inlineStr">
        <is>
          <t>绿</t>
        </is>
      </c>
      <c r="D372" s="2" t="n">
        <v>55</v>
      </c>
      <c r="E372" s="3">
        <f>INDEX('03_主属性基础'!$F$2:$F$9,MATCH(B372,'03_主属性基础'!$E$2:$E$9,0))</f>
        <v/>
      </c>
      <c r="F372" s="3">
        <f>INDEX('02_品质等级'!$C$2:$C$6,MATCH(C372,'02_品质等级'!$A$2:$A$6,0))</f>
        <v/>
      </c>
      <c r="G372" s="3">
        <f>INDEX('03_主属性基础'!$J$2:$J$13,MATCH(D372,'03_主属性基础'!$I$2:$I$13,0))</f>
        <v/>
      </c>
      <c r="H372" s="3">
        <f>E372*F372*G372</f>
        <v/>
      </c>
    </row>
    <row r="373">
      <c r="A373" s="2" t="inlineStr">
        <is>
          <t>装置</t>
        </is>
      </c>
      <c r="B373" s="3">
        <f>INDEX('03_主属性基础'!$B$2:$B$9,MATCH(A373,'03_主属性基础'!$A$2:$A$9,0))</f>
        <v/>
      </c>
      <c r="C373" s="2" t="inlineStr">
        <is>
          <t>绿</t>
        </is>
      </c>
      <c r="D373" s="2" t="n">
        <v>60</v>
      </c>
      <c r="E373" s="3">
        <f>INDEX('03_主属性基础'!$F$2:$F$9,MATCH(B373,'03_主属性基础'!$E$2:$E$9,0))</f>
        <v/>
      </c>
      <c r="F373" s="3">
        <f>INDEX('02_品质等级'!$C$2:$C$6,MATCH(C373,'02_品质等级'!$A$2:$A$6,0))</f>
        <v/>
      </c>
      <c r="G373" s="3">
        <f>INDEX('03_主属性基础'!$J$2:$J$13,MATCH(D373,'03_主属性基础'!$I$2:$I$13,0))</f>
        <v/>
      </c>
      <c r="H373" s="3">
        <f>E373*F373*G373</f>
        <v/>
      </c>
    </row>
    <row r="374">
      <c r="A374" s="2" t="inlineStr">
        <is>
          <t>装置</t>
        </is>
      </c>
      <c r="B374" s="3">
        <f>INDEX('03_主属性基础'!$B$2:$B$9,MATCH(A374,'03_主属性基础'!$A$2:$A$9,0))</f>
        <v/>
      </c>
      <c r="C374" s="2" t="inlineStr">
        <is>
          <t>蓝</t>
        </is>
      </c>
      <c r="D374" s="2" t="n">
        <v>5</v>
      </c>
      <c r="E374" s="3">
        <f>INDEX('03_主属性基础'!$F$2:$F$9,MATCH(B374,'03_主属性基础'!$E$2:$E$9,0))</f>
        <v/>
      </c>
      <c r="F374" s="3">
        <f>INDEX('02_品质等级'!$C$2:$C$6,MATCH(C374,'02_品质等级'!$A$2:$A$6,0))</f>
        <v/>
      </c>
      <c r="G374" s="3">
        <f>INDEX('03_主属性基础'!$J$2:$J$13,MATCH(D374,'03_主属性基础'!$I$2:$I$13,0))</f>
        <v/>
      </c>
      <c r="H374" s="3">
        <f>E374*F374*G374</f>
        <v/>
      </c>
    </row>
    <row r="375">
      <c r="A375" s="2" t="inlineStr">
        <is>
          <t>装置</t>
        </is>
      </c>
      <c r="B375" s="3">
        <f>INDEX('03_主属性基础'!$B$2:$B$9,MATCH(A375,'03_主属性基础'!$A$2:$A$9,0))</f>
        <v/>
      </c>
      <c r="C375" s="2" t="inlineStr">
        <is>
          <t>蓝</t>
        </is>
      </c>
      <c r="D375" s="2" t="n">
        <v>10</v>
      </c>
      <c r="E375" s="3">
        <f>INDEX('03_主属性基础'!$F$2:$F$9,MATCH(B375,'03_主属性基础'!$E$2:$E$9,0))</f>
        <v/>
      </c>
      <c r="F375" s="3">
        <f>INDEX('02_品质等级'!$C$2:$C$6,MATCH(C375,'02_品质等级'!$A$2:$A$6,0))</f>
        <v/>
      </c>
      <c r="G375" s="3">
        <f>INDEX('03_主属性基础'!$J$2:$J$13,MATCH(D375,'03_主属性基础'!$I$2:$I$13,0))</f>
        <v/>
      </c>
      <c r="H375" s="3">
        <f>E375*F375*G375</f>
        <v/>
      </c>
    </row>
    <row r="376">
      <c r="A376" s="2" t="inlineStr">
        <is>
          <t>装置</t>
        </is>
      </c>
      <c r="B376" s="3">
        <f>INDEX('03_主属性基础'!$B$2:$B$9,MATCH(A376,'03_主属性基础'!$A$2:$A$9,0))</f>
        <v/>
      </c>
      <c r="C376" s="2" t="inlineStr">
        <is>
          <t>蓝</t>
        </is>
      </c>
      <c r="D376" s="2" t="n">
        <v>15</v>
      </c>
      <c r="E376" s="3">
        <f>INDEX('03_主属性基础'!$F$2:$F$9,MATCH(B376,'03_主属性基础'!$E$2:$E$9,0))</f>
        <v/>
      </c>
      <c r="F376" s="3">
        <f>INDEX('02_品质等级'!$C$2:$C$6,MATCH(C376,'02_品质等级'!$A$2:$A$6,0))</f>
        <v/>
      </c>
      <c r="G376" s="3">
        <f>INDEX('03_主属性基础'!$J$2:$J$13,MATCH(D376,'03_主属性基础'!$I$2:$I$13,0))</f>
        <v/>
      </c>
      <c r="H376" s="3">
        <f>E376*F376*G376</f>
        <v/>
      </c>
    </row>
    <row r="377">
      <c r="A377" s="2" t="inlineStr">
        <is>
          <t>装置</t>
        </is>
      </c>
      <c r="B377" s="3">
        <f>INDEX('03_主属性基础'!$B$2:$B$9,MATCH(A377,'03_主属性基础'!$A$2:$A$9,0))</f>
        <v/>
      </c>
      <c r="C377" s="2" t="inlineStr">
        <is>
          <t>蓝</t>
        </is>
      </c>
      <c r="D377" s="2" t="n">
        <v>20</v>
      </c>
      <c r="E377" s="3">
        <f>INDEX('03_主属性基础'!$F$2:$F$9,MATCH(B377,'03_主属性基础'!$E$2:$E$9,0))</f>
        <v/>
      </c>
      <c r="F377" s="3">
        <f>INDEX('02_品质等级'!$C$2:$C$6,MATCH(C377,'02_品质等级'!$A$2:$A$6,0))</f>
        <v/>
      </c>
      <c r="G377" s="3">
        <f>INDEX('03_主属性基础'!$J$2:$J$13,MATCH(D377,'03_主属性基础'!$I$2:$I$13,0))</f>
        <v/>
      </c>
      <c r="H377" s="3">
        <f>E377*F377*G377</f>
        <v/>
      </c>
    </row>
    <row r="378">
      <c r="A378" s="2" t="inlineStr">
        <is>
          <t>装置</t>
        </is>
      </c>
      <c r="B378" s="3">
        <f>INDEX('03_主属性基础'!$B$2:$B$9,MATCH(A378,'03_主属性基础'!$A$2:$A$9,0))</f>
        <v/>
      </c>
      <c r="C378" s="2" t="inlineStr">
        <is>
          <t>蓝</t>
        </is>
      </c>
      <c r="D378" s="2" t="n">
        <v>25</v>
      </c>
      <c r="E378" s="3">
        <f>INDEX('03_主属性基础'!$F$2:$F$9,MATCH(B378,'03_主属性基础'!$E$2:$E$9,0))</f>
        <v/>
      </c>
      <c r="F378" s="3">
        <f>INDEX('02_品质等级'!$C$2:$C$6,MATCH(C378,'02_品质等级'!$A$2:$A$6,0))</f>
        <v/>
      </c>
      <c r="G378" s="3">
        <f>INDEX('03_主属性基础'!$J$2:$J$13,MATCH(D378,'03_主属性基础'!$I$2:$I$13,0))</f>
        <v/>
      </c>
      <c r="H378" s="3">
        <f>E378*F378*G378</f>
        <v/>
      </c>
    </row>
    <row r="379">
      <c r="A379" s="2" t="inlineStr">
        <is>
          <t>装置</t>
        </is>
      </c>
      <c r="B379" s="3">
        <f>INDEX('03_主属性基础'!$B$2:$B$9,MATCH(A379,'03_主属性基础'!$A$2:$A$9,0))</f>
        <v/>
      </c>
      <c r="C379" s="2" t="inlineStr">
        <is>
          <t>蓝</t>
        </is>
      </c>
      <c r="D379" s="2" t="n">
        <v>30</v>
      </c>
      <c r="E379" s="3">
        <f>INDEX('03_主属性基础'!$F$2:$F$9,MATCH(B379,'03_主属性基础'!$E$2:$E$9,0))</f>
        <v/>
      </c>
      <c r="F379" s="3">
        <f>INDEX('02_品质等级'!$C$2:$C$6,MATCH(C379,'02_品质等级'!$A$2:$A$6,0))</f>
        <v/>
      </c>
      <c r="G379" s="3">
        <f>INDEX('03_主属性基础'!$J$2:$J$13,MATCH(D379,'03_主属性基础'!$I$2:$I$13,0))</f>
        <v/>
      </c>
      <c r="H379" s="3">
        <f>E379*F379*G379</f>
        <v/>
      </c>
    </row>
    <row r="380">
      <c r="A380" s="2" t="inlineStr">
        <is>
          <t>装置</t>
        </is>
      </c>
      <c r="B380" s="3">
        <f>INDEX('03_主属性基础'!$B$2:$B$9,MATCH(A380,'03_主属性基础'!$A$2:$A$9,0))</f>
        <v/>
      </c>
      <c r="C380" s="2" t="inlineStr">
        <is>
          <t>蓝</t>
        </is>
      </c>
      <c r="D380" s="2" t="n">
        <v>35</v>
      </c>
      <c r="E380" s="3">
        <f>INDEX('03_主属性基础'!$F$2:$F$9,MATCH(B380,'03_主属性基础'!$E$2:$E$9,0))</f>
        <v/>
      </c>
      <c r="F380" s="3">
        <f>INDEX('02_品质等级'!$C$2:$C$6,MATCH(C380,'02_品质等级'!$A$2:$A$6,0))</f>
        <v/>
      </c>
      <c r="G380" s="3">
        <f>INDEX('03_主属性基础'!$J$2:$J$13,MATCH(D380,'03_主属性基础'!$I$2:$I$13,0))</f>
        <v/>
      </c>
      <c r="H380" s="3">
        <f>E380*F380*G380</f>
        <v/>
      </c>
    </row>
    <row r="381">
      <c r="A381" s="2" t="inlineStr">
        <is>
          <t>装置</t>
        </is>
      </c>
      <c r="B381" s="3">
        <f>INDEX('03_主属性基础'!$B$2:$B$9,MATCH(A381,'03_主属性基础'!$A$2:$A$9,0))</f>
        <v/>
      </c>
      <c r="C381" s="2" t="inlineStr">
        <is>
          <t>蓝</t>
        </is>
      </c>
      <c r="D381" s="2" t="n">
        <v>40</v>
      </c>
      <c r="E381" s="3">
        <f>INDEX('03_主属性基础'!$F$2:$F$9,MATCH(B381,'03_主属性基础'!$E$2:$E$9,0))</f>
        <v/>
      </c>
      <c r="F381" s="3">
        <f>INDEX('02_品质等级'!$C$2:$C$6,MATCH(C381,'02_品质等级'!$A$2:$A$6,0))</f>
        <v/>
      </c>
      <c r="G381" s="3">
        <f>INDEX('03_主属性基础'!$J$2:$J$13,MATCH(D381,'03_主属性基础'!$I$2:$I$13,0))</f>
        <v/>
      </c>
      <c r="H381" s="3">
        <f>E381*F381*G381</f>
        <v/>
      </c>
    </row>
    <row r="382">
      <c r="A382" s="2" t="inlineStr">
        <is>
          <t>装置</t>
        </is>
      </c>
      <c r="B382" s="3">
        <f>INDEX('03_主属性基础'!$B$2:$B$9,MATCH(A382,'03_主属性基础'!$A$2:$A$9,0))</f>
        <v/>
      </c>
      <c r="C382" s="2" t="inlineStr">
        <is>
          <t>蓝</t>
        </is>
      </c>
      <c r="D382" s="2" t="n">
        <v>45</v>
      </c>
      <c r="E382" s="3">
        <f>INDEX('03_主属性基础'!$F$2:$F$9,MATCH(B382,'03_主属性基础'!$E$2:$E$9,0))</f>
        <v/>
      </c>
      <c r="F382" s="3">
        <f>INDEX('02_品质等级'!$C$2:$C$6,MATCH(C382,'02_品质等级'!$A$2:$A$6,0))</f>
        <v/>
      </c>
      <c r="G382" s="3">
        <f>INDEX('03_主属性基础'!$J$2:$J$13,MATCH(D382,'03_主属性基础'!$I$2:$I$13,0))</f>
        <v/>
      </c>
      <c r="H382" s="3">
        <f>E382*F382*G382</f>
        <v/>
      </c>
    </row>
    <row r="383">
      <c r="A383" s="2" t="inlineStr">
        <is>
          <t>装置</t>
        </is>
      </c>
      <c r="B383" s="3">
        <f>INDEX('03_主属性基础'!$B$2:$B$9,MATCH(A383,'03_主属性基础'!$A$2:$A$9,0))</f>
        <v/>
      </c>
      <c r="C383" s="2" t="inlineStr">
        <is>
          <t>蓝</t>
        </is>
      </c>
      <c r="D383" s="2" t="n">
        <v>50</v>
      </c>
      <c r="E383" s="3">
        <f>INDEX('03_主属性基础'!$F$2:$F$9,MATCH(B383,'03_主属性基础'!$E$2:$E$9,0))</f>
        <v/>
      </c>
      <c r="F383" s="3">
        <f>INDEX('02_品质等级'!$C$2:$C$6,MATCH(C383,'02_品质等级'!$A$2:$A$6,0))</f>
        <v/>
      </c>
      <c r="G383" s="3">
        <f>INDEX('03_主属性基础'!$J$2:$J$13,MATCH(D383,'03_主属性基础'!$I$2:$I$13,0))</f>
        <v/>
      </c>
      <c r="H383" s="3">
        <f>E383*F383*G383</f>
        <v/>
      </c>
    </row>
    <row r="384">
      <c r="A384" s="2" t="inlineStr">
        <is>
          <t>装置</t>
        </is>
      </c>
      <c r="B384" s="3">
        <f>INDEX('03_主属性基础'!$B$2:$B$9,MATCH(A384,'03_主属性基础'!$A$2:$A$9,0))</f>
        <v/>
      </c>
      <c r="C384" s="2" t="inlineStr">
        <is>
          <t>蓝</t>
        </is>
      </c>
      <c r="D384" s="2" t="n">
        <v>55</v>
      </c>
      <c r="E384" s="3">
        <f>INDEX('03_主属性基础'!$F$2:$F$9,MATCH(B384,'03_主属性基础'!$E$2:$E$9,0))</f>
        <v/>
      </c>
      <c r="F384" s="3">
        <f>INDEX('02_品质等级'!$C$2:$C$6,MATCH(C384,'02_品质等级'!$A$2:$A$6,0))</f>
        <v/>
      </c>
      <c r="G384" s="3">
        <f>INDEX('03_主属性基础'!$J$2:$J$13,MATCH(D384,'03_主属性基础'!$I$2:$I$13,0))</f>
        <v/>
      </c>
      <c r="H384" s="3">
        <f>E384*F384*G384</f>
        <v/>
      </c>
    </row>
    <row r="385">
      <c r="A385" s="2" t="inlineStr">
        <is>
          <t>装置</t>
        </is>
      </c>
      <c r="B385" s="3">
        <f>INDEX('03_主属性基础'!$B$2:$B$9,MATCH(A385,'03_主属性基础'!$A$2:$A$9,0))</f>
        <v/>
      </c>
      <c r="C385" s="2" t="inlineStr">
        <is>
          <t>蓝</t>
        </is>
      </c>
      <c r="D385" s="2" t="n">
        <v>60</v>
      </c>
      <c r="E385" s="3">
        <f>INDEX('03_主属性基础'!$F$2:$F$9,MATCH(B385,'03_主属性基础'!$E$2:$E$9,0))</f>
        <v/>
      </c>
      <c r="F385" s="3">
        <f>INDEX('02_品质等级'!$C$2:$C$6,MATCH(C385,'02_品质等级'!$A$2:$A$6,0))</f>
        <v/>
      </c>
      <c r="G385" s="3">
        <f>INDEX('03_主属性基础'!$J$2:$J$13,MATCH(D385,'03_主属性基础'!$I$2:$I$13,0))</f>
        <v/>
      </c>
      <c r="H385" s="3">
        <f>E385*F385*G385</f>
        <v/>
      </c>
    </row>
    <row r="386">
      <c r="A386" s="2" t="inlineStr">
        <is>
          <t>装置</t>
        </is>
      </c>
      <c r="B386" s="3">
        <f>INDEX('03_主属性基础'!$B$2:$B$9,MATCH(A386,'03_主属性基础'!$A$2:$A$9,0))</f>
        <v/>
      </c>
      <c r="C386" s="2" t="inlineStr">
        <is>
          <t>紫</t>
        </is>
      </c>
      <c r="D386" s="2" t="n">
        <v>5</v>
      </c>
      <c r="E386" s="3">
        <f>INDEX('03_主属性基础'!$F$2:$F$9,MATCH(B386,'03_主属性基础'!$E$2:$E$9,0))</f>
        <v/>
      </c>
      <c r="F386" s="3">
        <f>INDEX('02_品质等级'!$C$2:$C$6,MATCH(C386,'02_品质等级'!$A$2:$A$6,0))</f>
        <v/>
      </c>
      <c r="G386" s="3">
        <f>INDEX('03_主属性基础'!$J$2:$J$13,MATCH(D386,'03_主属性基础'!$I$2:$I$13,0))</f>
        <v/>
      </c>
      <c r="H386" s="3">
        <f>E386*F386*G386</f>
        <v/>
      </c>
    </row>
    <row r="387">
      <c r="A387" s="2" t="inlineStr">
        <is>
          <t>装置</t>
        </is>
      </c>
      <c r="B387" s="3">
        <f>INDEX('03_主属性基础'!$B$2:$B$9,MATCH(A387,'03_主属性基础'!$A$2:$A$9,0))</f>
        <v/>
      </c>
      <c r="C387" s="2" t="inlineStr">
        <is>
          <t>紫</t>
        </is>
      </c>
      <c r="D387" s="2" t="n">
        <v>10</v>
      </c>
      <c r="E387" s="3">
        <f>INDEX('03_主属性基础'!$F$2:$F$9,MATCH(B387,'03_主属性基础'!$E$2:$E$9,0))</f>
        <v/>
      </c>
      <c r="F387" s="3">
        <f>INDEX('02_品质等级'!$C$2:$C$6,MATCH(C387,'02_品质等级'!$A$2:$A$6,0))</f>
        <v/>
      </c>
      <c r="G387" s="3">
        <f>INDEX('03_主属性基础'!$J$2:$J$13,MATCH(D387,'03_主属性基础'!$I$2:$I$13,0))</f>
        <v/>
      </c>
      <c r="H387" s="3">
        <f>E387*F387*G387</f>
        <v/>
      </c>
    </row>
    <row r="388">
      <c r="A388" s="2" t="inlineStr">
        <is>
          <t>装置</t>
        </is>
      </c>
      <c r="B388" s="3">
        <f>INDEX('03_主属性基础'!$B$2:$B$9,MATCH(A388,'03_主属性基础'!$A$2:$A$9,0))</f>
        <v/>
      </c>
      <c r="C388" s="2" t="inlineStr">
        <is>
          <t>紫</t>
        </is>
      </c>
      <c r="D388" s="2" t="n">
        <v>15</v>
      </c>
      <c r="E388" s="3">
        <f>INDEX('03_主属性基础'!$F$2:$F$9,MATCH(B388,'03_主属性基础'!$E$2:$E$9,0))</f>
        <v/>
      </c>
      <c r="F388" s="3">
        <f>INDEX('02_品质等级'!$C$2:$C$6,MATCH(C388,'02_品质等级'!$A$2:$A$6,0))</f>
        <v/>
      </c>
      <c r="G388" s="3">
        <f>INDEX('03_主属性基础'!$J$2:$J$13,MATCH(D388,'03_主属性基础'!$I$2:$I$13,0))</f>
        <v/>
      </c>
      <c r="H388" s="3">
        <f>E388*F388*G388</f>
        <v/>
      </c>
    </row>
    <row r="389">
      <c r="A389" s="2" t="inlineStr">
        <is>
          <t>装置</t>
        </is>
      </c>
      <c r="B389" s="3">
        <f>INDEX('03_主属性基础'!$B$2:$B$9,MATCH(A389,'03_主属性基础'!$A$2:$A$9,0))</f>
        <v/>
      </c>
      <c r="C389" s="2" t="inlineStr">
        <is>
          <t>紫</t>
        </is>
      </c>
      <c r="D389" s="2" t="n">
        <v>20</v>
      </c>
      <c r="E389" s="3">
        <f>INDEX('03_主属性基础'!$F$2:$F$9,MATCH(B389,'03_主属性基础'!$E$2:$E$9,0))</f>
        <v/>
      </c>
      <c r="F389" s="3">
        <f>INDEX('02_品质等级'!$C$2:$C$6,MATCH(C389,'02_品质等级'!$A$2:$A$6,0))</f>
        <v/>
      </c>
      <c r="G389" s="3">
        <f>INDEX('03_主属性基础'!$J$2:$J$13,MATCH(D389,'03_主属性基础'!$I$2:$I$13,0))</f>
        <v/>
      </c>
      <c r="H389" s="3">
        <f>E389*F389*G389</f>
        <v/>
      </c>
    </row>
    <row r="390">
      <c r="A390" s="2" t="inlineStr">
        <is>
          <t>装置</t>
        </is>
      </c>
      <c r="B390" s="3">
        <f>INDEX('03_主属性基础'!$B$2:$B$9,MATCH(A390,'03_主属性基础'!$A$2:$A$9,0))</f>
        <v/>
      </c>
      <c r="C390" s="2" t="inlineStr">
        <is>
          <t>紫</t>
        </is>
      </c>
      <c r="D390" s="2" t="n">
        <v>25</v>
      </c>
      <c r="E390" s="3">
        <f>INDEX('03_主属性基础'!$F$2:$F$9,MATCH(B390,'03_主属性基础'!$E$2:$E$9,0))</f>
        <v/>
      </c>
      <c r="F390" s="3">
        <f>INDEX('02_品质等级'!$C$2:$C$6,MATCH(C390,'02_品质等级'!$A$2:$A$6,0))</f>
        <v/>
      </c>
      <c r="G390" s="3">
        <f>INDEX('03_主属性基础'!$J$2:$J$13,MATCH(D390,'03_主属性基础'!$I$2:$I$13,0))</f>
        <v/>
      </c>
      <c r="H390" s="3">
        <f>E390*F390*G390</f>
        <v/>
      </c>
    </row>
    <row r="391">
      <c r="A391" s="2" t="inlineStr">
        <is>
          <t>装置</t>
        </is>
      </c>
      <c r="B391" s="3">
        <f>INDEX('03_主属性基础'!$B$2:$B$9,MATCH(A391,'03_主属性基础'!$A$2:$A$9,0))</f>
        <v/>
      </c>
      <c r="C391" s="2" t="inlineStr">
        <is>
          <t>紫</t>
        </is>
      </c>
      <c r="D391" s="2" t="n">
        <v>30</v>
      </c>
      <c r="E391" s="3">
        <f>INDEX('03_主属性基础'!$F$2:$F$9,MATCH(B391,'03_主属性基础'!$E$2:$E$9,0))</f>
        <v/>
      </c>
      <c r="F391" s="3">
        <f>INDEX('02_品质等级'!$C$2:$C$6,MATCH(C391,'02_品质等级'!$A$2:$A$6,0))</f>
        <v/>
      </c>
      <c r="G391" s="3">
        <f>INDEX('03_主属性基础'!$J$2:$J$13,MATCH(D391,'03_主属性基础'!$I$2:$I$13,0))</f>
        <v/>
      </c>
      <c r="H391" s="3">
        <f>E391*F391*G391</f>
        <v/>
      </c>
    </row>
    <row r="392">
      <c r="A392" s="2" t="inlineStr">
        <is>
          <t>装置</t>
        </is>
      </c>
      <c r="B392" s="3">
        <f>INDEX('03_主属性基础'!$B$2:$B$9,MATCH(A392,'03_主属性基础'!$A$2:$A$9,0))</f>
        <v/>
      </c>
      <c r="C392" s="2" t="inlineStr">
        <is>
          <t>紫</t>
        </is>
      </c>
      <c r="D392" s="2" t="n">
        <v>35</v>
      </c>
      <c r="E392" s="3">
        <f>INDEX('03_主属性基础'!$F$2:$F$9,MATCH(B392,'03_主属性基础'!$E$2:$E$9,0))</f>
        <v/>
      </c>
      <c r="F392" s="3">
        <f>INDEX('02_品质等级'!$C$2:$C$6,MATCH(C392,'02_品质等级'!$A$2:$A$6,0))</f>
        <v/>
      </c>
      <c r="G392" s="3">
        <f>INDEX('03_主属性基础'!$J$2:$J$13,MATCH(D392,'03_主属性基础'!$I$2:$I$13,0))</f>
        <v/>
      </c>
      <c r="H392" s="3">
        <f>E392*F392*G392</f>
        <v/>
      </c>
    </row>
    <row r="393">
      <c r="A393" s="2" t="inlineStr">
        <is>
          <t>装置</t>
        </is>
      </c>
      <c r="B393" s="3">
        <f>INDEX('03_主属性基础'!$B$2:$B$9,MATCH(A393,'03_主属性基础'!$A$2:$A$9,0))</f>
        <v/>
      </c>
      <c r="C393" s="2" t="inlineStr">
        <is>
          <t>紫</t>
        </is>
      </c>
      <c r="D393" s="2" t="n">
        <v>40</v>
      </c>
      <c r="E393" s="3">
        <f>INDEX('03_主属性基础'!$F$2:$F$9,MATCH(B393,'03_主属性基础'!$E$2:$E$9,0))</f>
        <v/>
      </c>
      <c r="F393" s="3">
        <f>INDEX('02_品质等级'!$C$2:$C$6,MATCH(C393,'02_品质等级'!$A$2:$A$6,0))</f>
        <v/>
      </c>
      <c r="G393" s="3">
        <f>INDEX('03_主属性基础'!$J$2:$J$13,MATCH(D393,'03_主属性基础'!$I$2:$I$13,0))</f>
        <v/>
      </c>
      <c r="H393" s="3">
        <f>E393*F393*G393</f>
        <v/>
      </c>
    </row>
    <row r="394">
      <c r="A394" s="2" t="inlineStr">
        <is>
          <t>装置</t>
        </is>
      </c>
      <c r="B394" s="3">
        <f>INDEX('03_主属性基础'!$B$2:$B$9,MATCH(A394,'03_主属性基础'!$A$2:$A$9,0))</f>
        <v/>
      </c>
      <c r="C394" s="2" t="inlineStr">
        <is>
          <t>紫</t>
        </is>
      </c>
      <c r="D394" s="2" t="n">
        <v>45</v>
      </c>
      <c r="E394" s="3">
        <f>INDEX('03_主属性基础'!$F$2:$F$9,MATCH(B394,'03_主属性基础'!$E$2:$E$9,0))</f>
        <v/>
      </c>
      <c r="F394" s="3">
        <f>INDEX('02_品质等级'!$C$2:$C$6,MATCH(C394,'02_品质等级'!$A$2:$A$6,0))</f>
        <v/>
      </c>
      <c r="G394" s="3">
        <f>INDEX('03_主属性基础'!$J$2:$J$13,MATCH(D394,'03_主属性基础'!$I$2:$I$13,0))</f>
        <v/>
      </c>
      <c r="H394" s="3">
        <f>E394*F394*G394</f>
        <v/>
      </c>
    </row>
    <row r="395">
      <c r="A395" s="2" t="inlineStr">
        <is>
          <t>装置</t>
        </is>
      </c>
      <c r="B395" s="3">
        <f>INDEX('03_主属性基础'!$B$2:$B$9,MATCH(A395,'03_主属性基础'!$A$2:$A$9,0))</f>
        <v/>
      </c>
      <c r="C395" s="2" t="inlineStr">
        <is>
          <t>紫</t>
        </is>
      </c>
      <c r="D395" s="2" t="n">
        <v>50</v>
      </c>
      <c r="E395" s="3">
        <f>INDEX('03_主属性基础'!$F$2:$F$9,MATCH(B395,'03_主属性基础'!$E$2:$E$9,0))</f>
        <v/>
      </c>
      <c r="F395" s="3">
        <f>INDEX('02_品质等级'!$C$2:$C$6,MATCH(C395,'02_品质等级'!$A$2:$A$6,0))</f>
        <v/>
      </c>
      <c r="G395" s="3">
        <f>INDEX('03_主属性基础'!$J$2:$J$13,MATCH(D395,'03_主属性基础'!$I$2:$I$13,0))</f>
        <v/>
      </c>
      <c r="H395" s="3">
        <f>E395*F395*G395</f>
        <v/>
      </c>
    </row>
    <row r="396">
      <c r="A396" s="2" t="inlineStr">
        <is>
          <t>装置</t>
        </is>
      </c>
      <c r="B396" s="3">
        <f>INDEX('03_主属性基础'!$B$2:$B$9,MATCH(A396,'03_主属性基础'!$A$2:$A$9,0))</f>
        <v/>
      </c>
      <c r="C396" s="2" t="inlineStr">
        <is>
          <t>紫</t>
        </is>
      </c>
      <c r="D396" s="2" t="n">
        <v>55</v>
      </c>
      <c r="E396" s="3">
        <f>INDEX('03_主属性基础'!$F$2:$F$9,MATCH(B396,'03_主属性基础'!$E$2:$E$9,0))</f>
        <v/>
      </c>
      <c r="F396" s="3">
        <f>INDEX('02_品质等级'!$C$2:$C$6,MATCH(C396,'02_品质等级'!$A$2:$A$6,0))</f>
        <v/>
      </c>
      <c r="G396" s="3">
        <f>INDEX('03_主属性基础'!$J$2:$J$13,MATCH(D396,'03_主属性基础'!$I$2:$I$13,0))</f>
        <v/>
      </c>
      <c r="H396" s="3">
        <f>E396*F396*G396</f>
        <v/>
      </c>
    </row>
    <row r="397">
      <c r="A397" s="2" t="inlineStr">
        <is>
          <t>装置</t>
        </is>
      </c>
      <c r="B397" s="3">
        <f>INDEX('03_主属性基础'!$B$2:$B$9,MATCH(A397,'03_主属性基础'!$A$2:$A$9,0))</f>
        <v/>
      </c>
      <c r="C397" s="2" t="inlineStr">
        <is>
          <t>紫</t>
        </is>
      </c>
      <c r="D397" s="2" t="n">
        <v>60</v>
      </c>
      <c r="E397" s="3">
        <f>INDEX('03_主属性基础'!$F$2:$F$9,MATCH(B397,'03_主属性基础'!$E$2:$E$9,0))</f>
        <v/>
      </c>
      <c r="F397" s="3">
        <f>INDEX('02_品质等级'!$C$2:$C$6,MATCH(C397,'02_品质等级'!$A$2:$A$6,0))</f>
        <v/>
      </c>
      <c r="G397" s="3">
        <f>INDEX('03_主属性基础'!$J$2:$J$13,MATCH(D397,'03_主属性基础'!$I$2:$I$13,0))</f>
        <v/>
      </c>
      <c r="H397" s="3">
        <f>E397*F397*G397</f>
        <v/>
      </c>
    </row>
    <row r="398">
      <c r="A398" s="2" t="inlineStr">
        <is>
          <t>装置</t>
        </is>
      </c>
      <c r="B398" s="3">
        <f>INDEX('03_主属性基础'!$B$2:$B$9,MATCH(A398,'03_主属性基础'!$A$2:$A$9,0))</f>
        <v/>
      </c>
      <c r="C398" s="2" t="inlineStr">
        <is>
          <t>金</t>
        </is>
      </c>
      <c r="D398" s="2" t="n">
        <v>5</v>
      </c>
      <c r="E398" s="3">
        <f>INDEX('03_主属性基础'!$F$2:$F$9,MATCH(B398,'03_主属性基础'!$E$2:$E$9,0))</f>
        <v/>
      </c>
      <c r="F398" s="3">
        <f>INDEX('02_品质等级'!$C$2:$C$6,MATCH(C398,'02_品质等级'!$A$2:$A$6,0))</f>
        <v/>
      </c>
      <c r="G398" s="3">
        <f>INDEX('03_主属性基础'!$J$2:$J$13,MATCH(D398,'03_主属性基础'!$I$2:$I$13,0))</f>
        <v/>
      </c>
      <c r="H398" s="3">
        <f>E398*F398*G398</f>
        <v/>
      </c>
    </row>
    <row r="399">
      <c r="A399" s="2" t="inlineStr">
        <is>
          <t>装置</t>
        </is>
      </c>
      <c r="B399" s="3">
        <f>INDEX('03_主属性基础'!$B$2:$B$9,MATCH(A399,'03_主属性基础'!$A$2:$A$9,0))</f>
        <v/>
      </c>
      <c r="C399" s="2" t="inlineStr">
        <is>
          <t>金</t>
        </is>
      </c>
      <c r="D399" s="2" t="n">
        <v>10</v>
      </c>
      <c r="E399" s="3">
        <f>INDEX('03_主属性基础'!$F$2:$F$9,MATCH(B399,'03_主属性基础'!$E$2:$E$9,0))</f>
        <v/>
      </c>
      <c r="F399" s="3">
        <f>INDEX('02_品质等级'!$C$2:$C$6,MATCH(C399,'02_品质等级'!$A$2:$A$6,0))</f>
        <v/>
      </c>
      <c r="G399" s="3">
        <f>INDEX('03_主属性基础'!$J$2:$J$13,MATCH(D399,'03_主属性基础'!$I$2:$I$13,0))</f>
        <v/>
      </c>
      <c r="H399" s="3">
        <f>E399*F399*G399</f>
        <v/>
      </c>
    </row>
    <row r="400">
      <c r="A400" s="2" t="inlineStr">
        <is>
          <t>装置</t>
        </is>
      </c>
      <c r="B400" s="3">
        <f>INDEX('03_主属性基础'!$B$2:$B$9,MATCH(A400,'03_主属性基础'!$A$2:$A$9,0))</f>
        <v/>
      </c>
      <c r="C400" s="2" t="inlineStr">
        <is>
          <t>金</t>
        </is>
      </c>
      <c r="D400" s="2" t="n">
        <v>15</v>
      </c>
      <c r="E400" s="3">
        <f>INDEX('03_主属性基础'!$F$2:$F$9,MATCH(B400,'03_主属性基础'!$E$2:$E$9,0))</f>
        <v/>
      </c>
      <c r="F400" s="3">
        <f>INDEX('02_品质等级'!$C$2:$C$6,MATCH(C400,'02_品质等级'!$A$2:$A$6,0))</f>
        <v/>
      </c>
      <c r="G400" s="3">
        <f>INDEX('03_主属性基础'!$J$2:$J$13,MATCH(D400,'03_主属性基础'!$I$2:$I$13,0))</f>
        <v/>
      </c>
      <c r="H400" s="3">
        <f>E400*F400*G400</f>
        <v/>
      </c>
    </row>
    <row r="401">
      <c r="A401" s="2" t="inlineStr">
        <is>
          <t>装置</t>
        </is>
      </c>
      <c r="B401" s="3">
        <f>INDEX('03_主属性基础'!$B$2:$B$9,MATCH(A401,'03_主属性基础'!$A$2:$A$9,0))</f>
        <v/>
      </c>
      <c r="C401" s="2" t="inlineStr">
        <is>
          <t>金</t>
        </is>
      </c>
      <c r="D401" s="2" t="n">
        <v>20</v>
      </c>
      <c r="E401" s="3">
        <f>INDEX('03_主属性基础'!$F$2:$F$9,MATCH(B401,'03_主属性基础'!$E$2:$E$9,0))</f>
        <v/>
      </c>
      <c r="F401" s="3">
        <f>INDEX('02_品质等级'!$C$2:$C$6,MATCH(C401,'02_品质等级'!$A$2:$A$6,0))</f>
        <v/>
      </c>
      <c r="G401" s="3">
        <f>INDEX('03_主属性基础'!$J$2:$J$13,MATCH(D401,'03_主属性基础'!$I$2:$I$13,0))</f>
        <v/>
      </c>
      <c r="H401" s="3">
        <f>E401*F401*G401</f>
        <v/>
      </c>
    </row>
    <row r="402">
      <c r="A402" s="2" t="inlineStr">
        <is>
          <t>装置</t>
        </is>
      </c>
      <c r="B402" s="3">
        <f>INDEX('03_主属性基础'!$B$2:$B$9,MATCH(A402,'03_主属性基础'!$A$2:$A$9,0))</f>
        <v/>
      </c>
      <c r="C402" s="2" t="inlineStr">
        <is>
          <t>金</t>
        </is>
      </c>
      <c r="D402" s="2" t="n">
        <v>25</v>
      </c>
      <c r="E402" s="3">
        <f>INDEX('03_主属性基础'!$F$2:$F$9,MATCH(B402,'03_主属性基础'!$E$2:$E$9,0))</f>
        <v/>
      </c>
      <c r="F402" s="3">
        <f>INDEX('02_品质等级'!$C$2:$C$6,MATCH(C402,'02_品质等级'!$A$2:$A$6,0))</f>
        <v/>
      </c>
      <c r="G402" s="3">
        <f>INDEX('03_主属性基础'!$J$2:$J$13,MATCH(D402,'03_主属性基础'!$I$2:$I$13,0))</f>
        <v/>
      </c>
      <c r="H402" s="3">
        <f>E402*F402*G402</f>
        <v/>
      </c>
    </row>
    <row r="403">
      <c r="A403" s="2" t="inlineStr">
        <is>
          <t>装置</t>
        </is>
      </c>
      <c r="B403" s="3">
        <f>INDEX('03_主属性基础'!$B$2:$B$9,MATCH(A403,'03_主属性基础'!$A$2:$A$9,0))</f>
        <v/>
      </c>
      <c r="C403" s="2" t="inlineStr">
        <is>
          <t>金</t>
        </is>
      </c>
      <c r="D403" s="2" t="n">
        <v>30</v>
      </c>
      <c r="E403" s="3">
        <f>INDEX('03_主属性基础'!$F$2:$F$9,MATCH(B403,'03_主属性基础'!$E$2:$E$9,0))</f>
        <v/>
      </c>
      <c r="F403" s="3">
        <f>INDEX('02_品质等级'!$C$2:$C$6,MATCH(C403,'02_品质等级'!$A$2:$A$6,0))</f>
        <v/>
      </c>
      <c r="G403" s="3">
        <f>INDEX('03_主属性基础'!$J$2:$J$13,MATCH(D403,'03_主属性基础'!$I$2:$I$13,0))</f>
        <v/>
      </c>
      <c r="H403" s="3">
        <f>E403*F403*G403</f>
        <v/>
      </c>
    </row>
    <row r="404">
      <c r="A404" s="2" t="inlineStr">
        <is>
          <t>装置</t>
        </is>
      </c>
      <c r="B404" s="3">
        <f>INDEX('03_主属性基础'!$B$2:$B$9,MATCH(A404,'03_主属性基础'!$A$2:$A$9,0))</f>
        <v/>
      </c>
      <c r="C404" s="2" t="inlineStr">
        <is>
          <t>金</t>
        </is>
      </c>
      <c r="D404" s="2" t="n">
        <v>35</v>
      </c>
      <c r="E404" s="3">
        <f>INDEX('03_主属性基础'!$F$2:$F$9,MATCH(B404,'03_主属性基础'!$E$2:$E$9,0))</f>
        <v/>
      </c>
      <c r="F404" s="3">
        <f>INDEX('02_品质等级'!$C$2:$C$6,MATCH(C404,'02_品质等级'!$A$2:$A$6,0))</f>
        <v/>
      </c>
      <c r="G404" s="3">
        <f>INDEX('03_主属性基础'!$J$2:$J$13,MATCH(D404,'03_主属性基础'!$I$2:$I$13,0))</f>
        <v/>
      </c>
      <c r="H404" s="3">
        <f>E404*F404*G404</f>
        <v/>
      </c>
    </row>
    <row r="405">
      <c r="A405" s="2" t="inlineStr">
        <is>
          <t>装置</t>
        </is>
      </c>
      <c r="B405" s="3">
        <f>INDEX('03_主属性基础'!$B$2:$B$9,MATCH(A405,'03_主属性基础'!$A$2:$A$9,0))</f>
        <v/>
      </c>
      <c r="C405" s="2" t="inlineStr">
        <is>
          <t>金</t>
        </is>
      </c>
      <c r="D405" s="2" t="n">
        <v>40</v>
      </c>
      <c r="E405" s="3">
        <f>INDEX('03_主属性基础'!$F$2:$F$9,MATCH(B405,'03_主属性基础'!$E$2:$E$9,0))</f>
        <v/>
      </c>
      <c r="F405" s="3">
        <f>INDEX('02_品质等级'!$C$2:$C$6,MATCH(C405,'02_品质等级'!$A$2:$A$6,0))</f>
        <v/>
      </c>
      <c r="G405" s="3">
        <f>INDEX('03_主属性基础'!$J$2:$J$13,MATCH(D405,'03_主属性基础'!$I$2:$I$13,0))</f>
        <v/>
      </c>
      <c r="H405" s="3">
        <f>E405*F405*G405</f>
        <v/>
      </c>
    </row>
    <row r="406">
      <c r="A406" s="2" t="inlineStr">
        <is>
          <t>装置</t>
        </is>
      </c>
      <c r="B406" s="3">
        <f>INDEX('03_主属性基础'!$B$2:$B$9,MATCH(A406,'03_主属性基础'!$A$2:$A$9,0))</f>
        <v/>
      </c>
      <c r="C406" s="2" t="inlineStr">
        <is>
          <t>金</t>
        </is>
      </c>
      <c r="D406" s="2" t="n">
        <v>45</v>
      </c>
      <c r="E406" s="3">
        <f>INDEX('03_主属性基础'!$F$2:$F$9,MATCH(B406,'03_主属性基础'!$E$2:$E$9,0))</f>
        <v/>
      </c>
      <c r="F406" s="3">
        <f>INDEX('02_品质等级'!$C$2:$C$6,MATCH(C406,'02_品质等级'!$A$2:$A$6,0))</f>
        <v/>
      </c>
      <c r="G406" s="3">
        <f>INDEX('03_主属性基础'!$J$2:$J$13,MATCH(D406,'03_主属性基础'!$I$2:$I$13,0))</f>
        <v/>
      </c>
      <c r="H406" s="3">
        <f>E406*F406*G406</f>
        <v/>
      </c>
    </row>
    <row r="407">
      <c r="A407" s="2" t="inlineStr">
        <is>
          <t>装置</t>
        </is>
      </c>
      <c r="B407" s="3">
        <f>INDEX('03_主属性基础'!$B$2:$B$9,MATCH(A407,'03_主属性基础'!$A$2:$A$9,0))</f>
        <v/>
      </c>
      <c r="C407" s="2" t="inlineStr">
        <is>
          <t>金</t>
        </is>
      </c>
      <c r="D407" s="2" t="n">
        <v>50</v>
      </c>
      <c r="E407" s="3">
        <f>INDEX('03_主属性基础'!$F$2:$F$9,MATCH(B407,'03_主属性基础'!$E$2:$E$9,0))</f>
        <v/>
      </c>
      <c r="F407" s="3">
        <f>INDEX('02_品质等级'!$C$2:$C$6,MATCH(C407,'02_品质等级'!$A$2:$A$6,0))</f>
        <v/>
      </c>
      <c r="G407" s="3">
        <f>INDEX('03_主属性基础'!$J$2:$J$13,MATCH(D407,'03_主属性基础'!$I$2:$I$13,0))</f>
        <v/>
      </c>
      <c r="H407" s="3">
        <f>E407*F407*G407</f>
        <v/>
      </c>
    </row>
    <row r="408">
      <c r="A408" s="2" t="inlineStr">
        <is>
          <t>装置</t>
        </is>
      </c>
      <c r="B408" s="3">
        <f>INDEX('03_主属性基础'!$B$2:$B$9,MATCH(A408,'03_主属性基础'!$A$2:$A$9,0))</f>
        <v/>
      </c>
      <c r="C408" s="2" t="inlineStr">
        <is>
          <t>金</t>
        </is>
      </c>
      <c r="D408" s="2" t="n">
        <v>55</v>
      </c>
      <c r="E408" s="3">
        <f>INDEX('03_主属性基础'!$F$2:$F$9,MATCH(B408,'03_主属性基础'!$E$2:$E$9,0))</f>
        <v/>
      </c>
      <c r="F408" s="3">
        <f>INDEX('02_品质等级'!$C$2:$C$6,MATCH(C408,'02_品质等级'!$A$2:$A$6,0))</f>
        <v/>
      </c>
      <c r="G408" s="3">
        <f>INDEX('03_主属性基础'!$J$2:$J$13,MATCH(D408,'03_主属性基础'!$I$2:$I$13,0))</f>
        <v/>
      </c>
      <c r="H408" s="3">
        <f>E408*F408*G408</f>
        <v/>
      </c>
    </row>
    <row r="409">
      <c r="A409" s="2" t="inlineStr">
        <is>
          <t>装置</t>
        </is>
      </c>
      <c r="B409" s="3">
        <f>INDEX('03_主属性基础'!$B$2:$B$9,MATCH(A409,'03_主属性基础'!$A$2:$A$9,0))</f>
        <v/>
      </c>
      <c r="C409" s="2" t="inlineStr">
        <is>
          <t>金</t>
        </is>
      </c>
      <c r="D409" s="2" t="n">
        <v>60</v>
      </c>
      <c r="E409" s="3">
        <f>INDEX('03_主属性基础'!$F$2:$F$9,MATCH(B409,'03_主属性基础'!$E$2:$E$9,0))</f>
        <v/>
      </c>
      <c r="F409" s="3">
        <f>INDEX('02_品质等级'!$C$2:$C$6,MATCH(C409,'02_品质等级'!$A$2:$A$6,0))</f>
        <v/>
      </c>
      <c r="G409" s="3">
        <f>INDEX('03_主属性基础'!$J$2:$J$13,MATCH(D409,'03_主属性基础'!$I$2:$I$13,0))</f>
        <v/>
      </c>
      <c r="H409" s="3">
        <f>E409*F409*G409</f>
        <v/>
      </c>
    </row>
    <row r="410">
      <c r="A410" s="2" t="inlineStr">
        <is>
          <t>装置</t>
        </is>
      </c>
      <c r="B410" s="3">
        <f>INDEX('03_主属性基础'!$B$2:$B$9,MATCH(A410,'03_主属性基础'!$A$2:$A$9,0))</f>
        <v/>
      </c>
      <c r="C410" s="2" t="inlineStr">
        <is>
          <t>红</t>
        </is>
      </c>
      <c r="D410" s="2" t="n">
        <v>5</v>
      </c>
      <c r="E410" s="3">
        <f>INDEX('03_主属性基础'!$F$2:$F$9,MATCH(B410,'03_主属性基础'!$E$2:$E$9,0))</f>
        <v/>
      </c>
      <c r="F410" s="3">
        <f>INDEX('02_品质等级'!$C$2:$C$6,MATCH(C410,'02_品质等级'!$A$2:$A$6,0))</f>
        <v/>
      </c>
      <c r="G410" s="3">
        <f>INDEX('03_主属性基础'!$J$2:$J$13,MATCH(D410,'03_主属性基础'!$I$2:$I$13,0))</f>
        <v/>
      </c>
      <c r="H410" s="3">
        <f>E410*F410*G410</f>
        <v/>
      </c>
    </row>
    <row r="411">
      <c r="A411" s="2" t="inlineStr">
        <is>
          <t>装置</t>
        </is>
      </c>
      <c r="B411" s="3">
        <f>INDEX('03_主属性基础'!$B$2:$B$9,MATCH(A411,'03_主属性基础'!$A$2:$A$9,0))</f>
        <v/>
      </c>
      <c r="C411" s="2" t="inlineStr">
        <is>
          <t>红</t>
        </is>
      </c>
      <c r="D411" s="2" t="n">
        <v>10</v>
      </c>
      <c r="E411" s="3">
        <f>INDEX('03_主属性基础'!$F$2:$F$9,MATCH(B411,'03_主属性基础'!$E$2:$E$9,0))</f>
        <v/>
      </c>
      <c r="F411" s="3">
        <f>INDEX('02_品质等级'!$C$2:$C$6,MATCH(C411,'02_品质等级'!$A$2:$A$6,0))</f>
        <v/>
      </c>
      <c r="G411" s="3">
        <f>INDEX('03_主属性基础'!$J$2:$J$13,MATCH(D411,'03_主属性基础'!$I$2:$I$13,0))</f>
        <v/>
      </c>
      <c r="H411" s="3">
        <f>E411*F411*G411</f>
        <v/>
      </c>
    </row>
    <row r="412">
      <c r="A412" s="2" t="inlineStr">
        <is>
          <t>装置</t>
        </is>
      </c>
      <c r="B412" s="3">
        <f>INDEX('03_主属性基础'!$B$2:$B$9,MATCH(A412,'03_主属性基础'!$A$2:$A$9,0))</f>
        <v/>
      </c>
      <c r="C412" s="2" t="inlineStr">
        <is>
          <t>红</t>
        </is>
      </c>
      <c r="D412" s="2" t="n">
        <v>15</v>
      </c>
      <c r="E412" s="3">
        <f>INDEX('03_主属性基础'!$F$2:$F$9,MATCH(B412,'03_主属性基础'!$E$2:$E$9,0))</f>
        <v/>
      </c>
      <c r="F412" s="3">
        <f>INDEX('02_品质等级'!$C$2:$C$6,MATCH(C412,'02_品质等级'!$A$2:$A$6,0))</f>
        <v/>
      </c>
      <c r="G412" s="3">
        <f>INDEX('03_主属性基础'!$J$2:$J$13,MATCH(D412,'03_主属性基础'!$I$2:$I$13,0))</f>
        <v/>
      </c>
      <c r="H412" s="3">
        <f>E412*F412*G412</f>
        <v/>
      </c>
    </row>
    <row r="413">
      <c r="A413" s="2" t="inlineStr">
        <is>
          <t>装置</t>
        </is>
      </c>
      <c r="B413" s="3">
        <f>INDEX('03_主属性基础'!$B$2:$B$9,MATCH(A413,'03_主属性基础'!$A$2:$A$9,0))</f>
        <v/>
      </c>
      <c r="C413" s="2" t="inlineStr">
        <is>
          <t>红</t>
        </is>
      </c>
      <c r="D413" s="2" t="n">
        <v>20</v>
      </c>
      <c r="E413" s="3">
        <f>INDEX('03_主属性基础'!$F$2:$F$9,MATCH(B413,'03_主属性基础'!$E$2:$E$9,0))</f>
        <v/>
      </c>
      <c r="F413" s="3">
        <f>INDEX('02_品质等级'!$C$2:$C$6,MATCH(C413,'02_品质等级'!$A$2:$A$6,0))</f>
        <v/>
      </c>
      <c r="G413" s="3">
        <f>INDEX('03_主属性基础'!$J$2:$J$13,MATCH(D413,'03_主属性基础'!$I$2:$I$13,0))</f>
        <v/>
      </c>
      <c r="H413" s="3">
        <f>E413*F413*G413</f>
        <v/>
      </c>
    </row>
    <row r="414">
      <c r="A414" s="2" t="inlineStr">
        <is>
          <t>装置</t>
        </is>
      </c>
      <c r="B414" s="3">
        <f>INDEX('03_主属性基础'!$B$2:$B$9,MATCH(A414,'03_主属性基础'!$A$2:$A$9,0))</f>
        <v/>
      </c>
      <c r="C414" s="2" t="inlineStr">
        <is>
          <t>红</t>
        </is>
      </c>
      <c r="D414" s="2" t="n">
        <v>25</v>
      </c>
      <c r="E414" s="3">
        <f>INDEX('03_主属性基础'!$F$2:$F$9,MATCH(B414,'03_主属性基础'!$E$2:$E$9,0))</f>
        <v/>
      </c>
      <c r="F414" s="3">
        <f>INDEX('02_品质等级'!$C$2:$C$6,MATCH(C414,'02_品质等级'!$A$2:$A$6,0))</f>
        <v/>
      </c>
      <c r="G414" s="3">
        <f>INDEX('03_主属性基础'!$J$2:$J$13,MATCH(D414,'03_主属性基础'!$I$2:$I$13,0))</f>
        <v/>
      </c>
      <c r="H414" s="3">
        <f>E414*F414*G414</f>
        <v/>
      </c>
    </row>
    <row r="415">
      <c r="A415" s="2" t="inlineStr">
        <is>
          <t>装置</t>
        </is>
      </c>
      <c r="B415" s="3">
        <f>INDEX('03_主属性基础'!$B$2:$B$9,MATCH(A415,'03_主属性基础'!$A$2:$A$9,0))</f>
        <v/>
      </c>
      <c r="C415" s="2" t="inlineStr">
        <is>
          <t>红</t>
        </is>
      </c>
      <c r="D415" s="2" t="n">
        <v>30</v>
      </c>
      <c r="E415" s="3">
        <f>INDEX('03_主属性基础'!$F$2:$F$9,MATCH(B415,'03_主属性基础'!$E$2:$E$9,0))</f>
        <v/>
      </c>
      <c r="F415" s="3">
        <f>INDEX('02_品质等级'!$C$2:$C$6,MATCH(C415,'02_品质等级'!$A$2:$A$6,0))</f>
        <v/>
      </c>
      <c r="G415" s="3">
        <f>INDEX('03_主属性基础'!$J$2:$J$13,MATCH(D415,'03_主属性基础'!$I$2:$I$13,0))</f>
        <v/>
      </c>
      <c r="H415" s="3">
        <f>E415*F415*G415</f>
        <v/>
      </c>
    </row>
    <row r="416">
      <c r="A416" s="2" t="inlineStr">
        <is>
          <t>装置</t>
        </is>
      </c>
      <c r="B416" s="3">
        <f>INDEX('03_主属性基础'!$B$2:$B$9,MATCH(A416,'03_主属性基础'!$A$2:$A$9,0))</f>
        <v/>
      </c>
      <c r="C416" s="2" t="inlineStr">
        <is>
          <t>红</t>
        </is>
      </c>
      <c r="D416" s="2" t="n">
        <v>35</v>
      </c>
      <c r="E416" s="3">
        <f>INDEX('03_主属性基础'!$F$2:$F$9,MATCH(B416,'03_主属性基础'!$E$2:$E$9,0))</f>
        <v/>
      </c>
      <c r="F416" s="3">
        <f>INDEX('02_品质等级'!$C$2:$C$6,MATCH(C416,'02_品质等级'!$A$2:$A$6,0))</f>
        <v/>
      </c>
      <c r="G416" s="3">
        <f>INDEX('03_主属性基础'!$J$2:$J$13,MATCH(D416,'03_主属性基础'!$I$2:$I$13,0))</f>
        <v/>
      </c>
      <c r="H416" s="3">
        <f>E416*F416*G416</f>
        <v/>
      </c>
    </row>
    <row r="417">
      <c r="A417" s="2" t="inlineStr">
        <is>
          <t>装置</t>
        </is>
      </c>
      <c r="B417" s="3">
        <f>INDEX('03_主属性基础'!$B$2:$B$9,MATCH(A417,'03_主属性基础'!$A$2:$A$9,0))</f>
        <v/>
      </c>
      <c r="C417" s="2" t="inlineStr">
        <is>
          <t>红</t>
        </is>
      </c>
      <c r="D417" s="2" t="n">
        <v>40</v>
      </c>
      <c r="E417" s="3">
        <f>INDEX('03_主属性基础'!$F$2:$F$9,MATCH(B417,'03_主属性基础'!$E$2:$E$9,0))</f>
        <v/>
      </c>
      <c r="F417" s="3">
        <f>INDEX('02_品质等级'!$C$2:$C$6,MATCH(C417,'02_品质等级'!$A$2:$A$6,0))</f>
        <v/>
      </c>
      <c r="G417" s="3">
        <f>INDEX('03_主属性基础'!$J$2:$J$13,MATCH(D417,'03_主属性基础'!$I$2:$I$13,0))</f>
        <v/>
      </c>
      <c r="H417" s="3">
        <f>E417*F417*G417</f>
        <v/>
      </c>
    </row>
    <row r="418">
      <c r="A418" s="2" t="inlineStr">
        <is>
          <t>装置</t>
        </is>
      </c>
      <c r="B418" s="3">
        <f>INDEX('03_主属性基础'!$B$2:$B$9,MATCH(A418,'03_主属性基础'!$A$2:$A$9,0))</f>
        <v/>
      </c>
      <c r="C418" s="2" t="inlineStr">
        <is>
          <t>红</t>
        </is>
      </c>
      <c r="D418" s="2" t="n">
        <v>45</v>
      </c>
      <c r="E418" s="3">
        <f>INDEX('03_主属性基础'!$F$2:$F$9,MATCH(B418,'03_主属性基础'!$E$2:$E$9,0))</f>
        <v/>
      </c>
      <c r="F418" s="3">
        <f>INDEX('02_品质等级'!$C$2:$C$6,MATCH(C418,'02_品质等级'!$A$2:$A$6,0))</f>
        <v/>
      </c>
      <c r="G418" s="3">
        <f>INDEX('03_主属性基础'!$J$2:$J$13,MATCH(D418,'03_主属性基础'!$I$2:$I$13,0))</f>
        <v/>
      </c>
      <c r="H418" s="3">
        <f>E418*F418*G418</f>
        <v/>
      </c>
    </row>
    <row r="419">
      <c r="A419" s="2" t="inlineStr">
        <is>
          <t>装置</t>
        </is>
      </c>
      <c r="B419" s="3">
        <f>INDEX('03_主属性基础'!$B$2:$B$9,MATCH(A419,'03_主属性基础'!$A$2:$A$9,0))</f>
        <v/>
      </c>
      <c r="C419" s="2" t="inlineStr">
        <is>
          <t>红</t>
        </is>
      </c>
      <c r="D419" s="2" t="n">
        <v>50</v>
      </c>
      <c r="E419" s="3">
        <f>INDEX('03_主属性基础'!$F$2:$F$9,MATCH(B419,'03_主属性基础'!$E$2:$E$9,0))</f>
        <v/>
      </c>
      <c r="F419" s="3">
        <f>INDEX('02_品质等级'!$C$2:$C$6,MATCH(C419,'02_品质等级'!$A$2:$A$6,0))</f>
        <v/>
      </c>
      <c r="G419" s="3">
        <f>INDEX('03_主属性基础'!$J$2:$J$13,MATCH(D419,'03_主属性基础'!$I$2:$I$13,0))</f>
        <v/>
      </c>
      <c r="H419" s="3">
        <f>E419*F419*G419</f>
        <v/>
      </c>
    </row>
    <row r="420">
      <c r="A420" s="2" t="inlineStr">
        <is>
          <t>装置</t>
        </is>
      </c>
      <c r="B420" s="3">
        <f>INDEX('03_主属性基础'!$B$2:$B$9,MATCH(A420,'03_主属性基础'!$A$2:$A$9,0))</f>
        <v/>
      </c>
      <c r="C420" s="2" t="inlineStr">
        <is>
          <t>红</t>
        </is>
      </c>
      <c r="D420" s="2" t="n">
        <v>55</v>
      </c>
      <c r="E420" s="3">
        <f>INDEX('03_主属性基础'!$F$2:$F$9,MATCH(B420,'03_主属性基础'!$E$2:$E$9,0))</f>
        <v/>
      </c>
      <c r="F420" s="3">
        <f>INDEX('02_品质等级'!$C$2:$C$6,MATCH(C420,'02_品质等级'!$A$2:$A$6,0))</f>
        <v/>
      </c>
      <c r="G420" s="3">
        <f>INDEX('03_主属性基础'!$J$2:$J$13,MATCH(D420,'03_主属性基础'!$I$2:$I$13,0))</f>
        <v/>
      </c>
      <c r="H420" s="3">
        <f>E420*F420*G420</f>
        <v/>
      </c>
    </row>
    <row r="421">
      <c r="A421" s="2" t="inlineStr">
        <is>
          <t>装置</t>
        </is>
      </c>
      <c r="B421" s="3">
        <f>INDEX('03_主属性基础'!$B$2:$B$9,MATCH(A421,'03_主属性基础'!$A$2:$A$9,0))</f>
        <v/>
      </c>
      <c r="C421" s="2" t="inlineStr">
        <is>
          <t>红</t>
        </is>
      </c>
      <c r="D421" s="2" t="n">
        <v>60</v>
      </c>
      <c r="E421" s="3">
        <f>INDEX('03_主属性基础'!$F$2:$F$9,MATCH(B421,'03_主属性基础'!$E$2:$E$9,0))</f>
        <v/>
      </c>
      <c r="F421" s="3">
        <f>INDEX('02_品质等级'!$C$2:$C$6,MATCH(C421,'02_品质等级'!$A$2:$A$6,0))</f>
        <v/>
      </c>
      <c r="G421" s="3">
        <f>INDEX('03_主属性基础'!$J$2:$J$13,MATCH(D421,'03_主属性基础'!$I$2:$I$13,0))</f>
        <v/>
      </c>
      <c r="H421" s="3">
        <f>E421*F421*G421</f>
        <v/>
      </c>
    </row>
    <row r="422">
      <c r="A422" s="2" t="inlineStr">
        <is>
          <t>饰品</t>
        </is>
      </c>
      <c r="B422" s="3">
        <f>INDEX('03_主属性基础'!$B$2:$B$9,MATCH(A422,'03_主属性基础'!$A$2:$A$9,0))</f>
        <v/>
      </c>
      <c r="C422" s="2" t="inlineStr">
        <is>
          <t>绿</t>
        </is>
      </c>
      <c r="D422" s="2" t="n">
        <v>5</v>
      </c>
      <c r="E422" s="3">
        <f>INDEX('03_主属性基础'!$F$2:$F$9,MATCH(B422,'03_主属性基础'!$E$2:$E$9,0))</f>
        <v/>
      </c>
      <c r="F422" s="3">
        <f>INDEX('02_品质等级'!$C$2:$C$6,MATCH(C422,'02_品质等级'!$A$2:$A$6,0))</f>
        <v/>
      </c>
      <c r="G422" s="3">
        <f>INDEX('03_主属性基础'!$J$2:$J$13,MATCH(D422,'03_主属性基础'!$I$2:$I$13,0))</f>
        <v/>
      </c>
      <c r="H422" s="3">
        <f>E422*F422*G422</f>
        <v/>
      </c>
    </row>
    <row r="423">
      <c r="A423" s="2" t="inlineStr">
        <is>
          <t>饰品</t>
        </is>
      </c>
      <c r="B423" s="3">
        <f>INDEX('03_主属性基础'!$B$2:$B$9,MATCH(A423,'03_主属性基础'!$A$2:$A$9,0))</f>
        <v/>
      </c>
      <c r="C423" s="2" t="inlineStr">
        <is>
          <t>绿</t>
        </is>
      </c>
      <c r="D423" s="2" t="n">
        <v>10</v>
      </c>
      <c r="E423" s="3">
        <f>INDEX('03_主属性基础'!$F$2:$F$9,MATCH(B423,'03_主属性基础'!$E$2:$E$9,0))</f>
        <v/>
      </c>
      <c r="F423" s="3">
        <f>INDEX('02_品质等级'!$C$2:$C$6,MATCH(C423,'02_品质等级'!$A$2:$A$6,0))</f>
        <v/>
      </c>
      <c r="G423" s="3">
        <f>INDEX('03_主属性基础'!$J$2:$J$13,MATCH(D423,'03_主属性基础'!$I$2:$I$13,0))</f>
        <v/>
      </c>
      <c r="H423" s="3">
        <f>E423*F423*G423</f>
        <v/>
      </c>
    </row>
    <row r="424">
      <c r="A424" s="2" t="inlineStr">
        <is>
          <t>饰品</t>
        </is>
      </c>
      <c r="B424" s="3">
        <f>INDEX('03_主属性基础'!$B$2:$B$9,MATCH(A424,'03_主属性基础'!$A$2:$A$9,0))</f>
        <v/>
      </c>
      <c r="C424" s="2" t="inlineStr">
        <is>
          <t>绿</t>
        </is>
      </c>
      <c r="D424" s="2" t="n">
        <v>15</v>
      </c>
      <c r="E424" s="3">
        <f>INDEX('03_主属性基础'!$F$2:$F$9,MATCH(B424,'03_主属性基础'!$E$2:$E$9,0))</f>
        <v/>
      </c>
      <c r="F424" s="3">
        <f>INDEX('02_品质等级'!$C$2:$C$6,MATCH(C424,'02_品质等级'!$A$2:$A$6,0))</f>
        <v/>
      </c>
      <c r="G424" s="3">
        <f>INDEX('03_主属性基础'!$J$2:$J$13,MATCH(D424,'03_主属性基础'!$I$2:$I$13,0))</f>
        <v/>
      </c>
      <c r="H424" s="3">
        <f>E424*F424*G424</f>
        <v/>
      </c>
    </row>
    <row r="425">
      <c r="A425" s="2" t="inlineStr">
        <is>
          <t>饰品</t>
        </is>
      </c>
      <c r="B425" s="3">
        <f>INDEX('03_主属性基础'!$B$2:$B$9,MATCH(A425,'03_主属性基础'!$A$2:$A$9,0))</f>
        <v/>
      </c>
      <c r="C425" s="2" t="inlineStr">
        <is>
          <t>绿</t>
        </is>
      </c>
      <c r="D425" s="2" t="n">
        <v>20</v>
      </c>
      <c r="E425" s="3">
        <f>INDEX('03_主属性基础'!$F$2:$F$9,MATCH(B425,'03_主属性基础'!$E$2:$E$9,0))</f>
        <v/>
      </c>
      <c r="F425" s="3">
        <f>INDEX('02_品质等级'!$C$2:$C$6,MATCH(C425,'02_品质等级'!$A$2:$A$6,0))</f>
        <v/>
      </c>
      <c r="G425" s="3">
        <f>INDEX('03_主属性基础'!$J$2:$J$13,MATCH(D425,'03_主属性基础'!$I$2:$I$13,0))</f>
        <v/>
      </c>
      <c r="H425" s="3">
        <f>E425*F425*G425</f>
        <v/>
      </c>
    </row>
    <row r="426">
      <c r="A426" s="2" t="inlineStr">
        <is>
          <t>饰品</t>
        </is>
      </c>
      <c r="B426" s="3">
        <f>INDEX('03_主属性基础'!$B$2:$B$9,MATCH(A426,'03_主属性基础'!$A$2:$A$9,0))</f>
        <v/>
      </c>
      <c r="C426" s="2" t="inlineStr">
        <is>
          <t>绿</t>
        </is>
      </c>
      <c r="D426" s="2" t="n">
        <v>25</v>
      </c>
      <c r="E426" s="3">
        <f>INDEX('03_主属性基础'!$F$2:$F$9,MATCH(B426,'03_主属性基础'!$E$2:$E$9,0))</f>
        <v/>
      </c>
      <c r="F426" s="3">
        <f>INDEX('02_品质等级'!$C$2:$C$6,MATCH(C426,'02_品质等级'!$A$2:$A$6,0))</f>
        <v/>
      </c>
      <c r="G426" s="3">
        <f>INDEX('03_主属性基础'!$J$2:$J$13,MATCH(D426,'03_主属性基础'!$I$2:$I$13,0))</f>
        <v/>
      </c>
      <c r="H426" s="3">
        <f>E426*F426*G426</f>
        <v/>
      </c>
    </row>
    <row r="427">
      <c r="A427" s="2" t="inlineStr">
        <is>
          <t>饰品</t>
        </is>
      </c>
      <c r="B427" s="3">
        <f>INDEX('03_主属性基础'!$B$2:$B$9,MATCH(A427,'03_主属性基础'!$A$2:$A$9,0))</f>
        <v/>
      </c>
      <c r="C427" s="2" t="inlineStr">
        <is>
          <t>绿</t>
        </is>
      </c>
      <c r="D427" s="2" t="n">
        <v>30</v>
      </c>
      <c r="E427" s="3">
        <f>INDEX('03_主属性基础'!$F$2:$F$9,MATCH(B427,'03_主属性基础'!$E$2:$E$9,0))</f>
        <v/>
      </c>
      <c r="F427" s="3">
        <f>INDEX('02_品质等级'!$C$2:$C$6,MATCH(C427,'02_品质等级'!$A$2:$A$6,0))</f>
        <v/>
      </c>
      <c r="G427" s="3">
        <f>INDEX('03_主属性基础'!$J$2:$J$13,MATCH(D427,'03_主属性基础'!$I$2:$I$13,0))</f>
        <v/>
      </c>
      <c r="H427" s="3">
        <f>E427*F427*G427</f>
        <v/>
      </c>
    </row>
    <row r="428">
      <c r="A428" s="2" t="inlineStr">
        <is>
          <t>饰品</t>
        </is>
      </c>
      <c r="B428" s="3">
        <f>INDEX('03_主属性基础'!$B$2:$B$9,MATCH(A428,'03_主属性基础'!$A$2:$A$9,0))</f>
        <v/>
      </c>
      <c r="C428" s="2" t="inlineStr">
        <is>
          <t>绿</t>
        </is>
      </c>
      <c r="D428" s="2" t="n">
        <v>35</v>
      </c>
      <c r="E428" s="3">
        <f>INDEX('03_主属性基础'!$F$2:$F$9,MATCH(B428,'03_主属性基础'!$E$2:$E$9,0))</f>
        <v/>
      </c>
      <c r="F428" s="3">
        <f>INDEX('02_品质等级'!$C$2:$C$6,MATCH(C428,'02_品质等级'!$A$2:$A$6,0))</f>
        <v/>
      </c>
      <c r="G428" s="3">
        <f>INDEX('03_主属性基础'!$J$2:$J$13,MATCH(D428,'03_主属性基础'!$I$2:$I$13,0))</f>
        <v/>
      </c>
      <c r="H428" s="3">
        <f>E428*F428*G428</f>
        <v/>
      </c>
    </row>
    <row r="429">
      <c r="A429" s="2" t="inlineStr">
        <is>
          <t>饰品</t>
        </is>
      </c>
      <c r="B429" s="3">
        <f>INDEX('03_主属性基础'!$B$2:$B$9,MATCH(A429,'03_主属性基础'!$A$2:$A$9,0))</f>
        <v/>
      </c>
      <c r="C429" s="2" t="inlineStr">
        <is>
          <t>绿</t>
        </is>
      </c>
      <c r="D429" s="2" t="n">
        <v>40</v>
      </c>
      <c r="E429" s="3">
        <f>INDEX('03_主属性基础'!$F$2:$F$9,MATCH(B429,'03_主属性基础'!$E$2:$E$9,0))</f>
        <v/>
      </c>
      <c r="F429" s="3">
        <f>INDEX('02_品质等级'!$C$2:$C$6,MATCH(C429,'02_品质等级'!$A$2:$A$6,0))</f>
        <v/>
      </c>
      <c r="G429" s="3">
        <f>INDEX('03_主属性基础'!$J$2:$J$13,MATCH(D429,'03_主属性基础'!$I$2:$I$13,0))</f>
        <v/>
      </c>
      <c r="H429" s="3">
        <f>E429*F429*G429</f>
        <v/>
      </c>
    </row>
    <row r="430">
      <c r="A430" s="2" t="inlineStr">
        <is>
          <t>饰品</t>
        </is>
      </c>
      <c r="B430" s="3">
        <f>INDEX('03_主属性基础'!$B$2:$B$9,MATCH(A430,'03_主属性基础'!$A$2:$A$9,0))</f>
        <v/>
      </c>
      <c r="C430" s="2" t="inlineStr">
        <is>
          <t>绿</t>
        </is>
      </c>
      <c r="D430" s="2" t="n">
        <v>45</v>
      </c>
      <c r="E430" s="3">
        <f>INDEX('03_主属性基础'!$F$2:$F$9,MATCH(B430,'03_主属性基础'!$E$2:$E$9,0))</f>
        <v/>
      </c>
      <c r="F430" s="3">
        <f>INDEX('02_品质等级'!$C$2:$C$6,MATCH(C430,'02_品质等级'!$A$2:$A$6,0))</f>
        <v/>
      </c>
      <c r="G430" s="3">
        <f>INDEX('03_主属性基础'!$J$2:$J$13,MATCH(D430,'03_主属性基础'!$I$2:$I$13,0))</f>
        <v/>
      </c>
      <c r="H430" s="3">
        <f>E430*F430*G430</f>
        <v/>
      </c>
    </row>
    <row r="431">
      <c r="A431" s="2" t="inlineStr">
        <is>
          <t>饰品</t>
        </is>
      </c>
      <c r="B431" s="3">
        <f>INDEX('03_主属性基础'!$B$2:$B$9,MATCH(A431,'03_主属性基础'!$A$2:$A$9,0))</f>
        <v/>
      </c>
      <c r="C431" s="2" t="inlineStr">
        <is>
          <t>绿</t>
        </is>
      </c>
      <c r="D431" s="2" t="n">
        <v>50</v>
      </c>
      <c r="E431" s="3">
        <f>INDEX('03_主属性基础'!$F$2:$F$9,MATCH(B431,'03_主属性基础'!$E$2:$E$9,0))</f>
        <v/>
      </c>
      <c r="F431" s="3">
        <f>INDEX('02_品质等级'!$C$2:$C$6,MATCH(C431,'02_品质等级'!$A$2:$A$6,0))</f>
        <v/>
      </c>
      <c r="G431" s="3">
        <f>INDEX('03_主属性基础'!$J$2:$J$13,MATCH(D431,'03_主属性基础'!$I$2:$I$13,0))</f>
        <v/>
      </c>
      <c r="H431" s="3">
        <f>E431*F431*G431</f>
        <v/>
      </c>
    </row>
    <row r="432">
      <c r="A432" s="2" t="inlineStr">
        <is>
          <t>饰品</t>
        </is>
      </c>
      <c r="B432" s="3">
        <f>INDEX('03_主属性基础'!$B$2:$B$9,MATCH(A432,'03_主属性基础'!$A$2:$A$9,0))</f>
        <v/>
      </c>
      <c r="C432" s="2" t="inlineStr">
        <is>
          <t>绿</t>
        </is>
      </c>
      <c r="D432" s="2" t="n">
        <v>55</v>
      </c>
      <c r="E432" s="3">
        <f>INDEX('03_主属性基础'!$F$2:$F$9,MATCH(B432,'03_主属性基础'!$E$2:$E$9,0))</f>
        <v/>
      </c>
      <c r="F432" s="3">
        <f>INDEX('02_品质等级'!$C$2:$C$6,MATCH(C432,'02_品质等级'!$A$2:$A$6,0))</f>
        <v/>
      </c>
      <c r="G432" s="3">
        <f>INDEX('03_主属性基础'!$J$2:$J$13,MATCH(D432,'03_主属性基础'!$I$2:$I$13,0))</f>
        <v/>
      </c>
      <c r="H432" s="3">
        <f>E432*F432*G432</f>
        <v/>
      </c>
    </row>
    <row r="433">
      <c r="A433" s="2" t="inlineStr">
        <is>
          <t>饰品</t>
        </is>
      </c>
      <c r="B433" s="3">
        <f>INDEX('03_主属性基础'!$B$2:$B$9,MATCH(A433,'03_主属性基础'!$A$2:$A$9,0))</f>
        <v/>
      </c>
      <c r="C433" s="2" t="inlineStr">
        <is>
          <t>绿</t>
        </is>
      </c>
      <c r="D433" s="2" t="n">
        <v>60</v>
      </c>
      <c r="E433" s="3">
        <f>INDEX('03_主属性基础'!$F$2:$F$9,MATCH(B433,'03_主属性基础'!$E$2:$E$9,0))</f>
        <v/>
      </c>
      <c r="F433" s="3">
        <f>INDEX('02_品质等级'!$C$2:$C$6,MATCH(C433,'02_品质等级'!$A$2:$A$6,0))</f>
        <v/>
      </c>
      <c r="G433" s="3">
        <f>INDEX('03_主属性基础'!$J$2:$J$13,MATCH(D433,'03_主属性基础'!$I$2:$I$13,0))</f>
        <v/>
      </c>
      <c r="H433" s="3">
        <f>E433*F433*G433</f>
        <v/>
      </c>
    </row>
    <row r="434">
      <c r="A434" s="2" t="inlineStr">
        <is>
          <t>饰品</t>
        </is>
      </c>
      <c r="B434" s="3">
        <f>INDEX('03_主属性基础'!$B$2:$B$9,MATCH(A434,'03_主属性基础'!$A$2:$A$9,0))</f>
        <v/>
      </c>
      <c r="C434" s="2" t="inlineStr">
        <is>
          <t>蓝</t>
        </is>
      </c>
      <c r="D434" s="2" t="n">
        <v>5</v>
      </c>
      <c r="E434" s="3">
        <f>INDEX('03_主属性基础'!$F$2:$F$9,MATCH(B434,'03_主属性基础'!$E$2:$E$9,0))</f>
        <v/>
      </c>
      <c r="F434" s="3">
        <f>INDEX('02_品质等级'!$C$2:$C$6,MATCH(C434,'02_品质等级'!$A$2:$A$6,0))</f>
        <v/>
      </c>
      <c r="G434" s="3">
        <f>INDEX('03_主属性基础'!$J$2:$J$13,MATCH(D434,'03_主属性基础'!$I$2:$I$13,0))</f>
        <v/>
      </c>
      <c r="H434" s="3">
        <f>E434*F434*G434</f>
        <v/>
      </c>
    </row>
    <row r="435">
      <c r="A435" s="2" t="inlineStr">
        <is>
          <t>饰品</t>
        </is>
      </c>
      <c r="B435" s="3">
        <f>INDEX('03_主属性基础'!$B$2:$B$9,MATCH(A435,'03_主属性基础'!$A$2:$A$9,0))</f>
        <v/>
      </c>
      <c r="C435" s="2" t="inlineStr">
        <is>
          <t>蓝</t>
        </is>
      </c>
      <c r="D435" s="2" t="n">
        <v>10</v>
      </c>
      <c r="E435" s="3">
        <f>INDEX('03_主属性基础'!$F$2:$F$9,MATCH(B435,'03_主属性基础'!$E$2:$E$9,0))</f>
        <v/>
      </c>
      <c r="F435" s="3">
        <f>INDEX('02_品质等级'!$C$2:$C$6,MATCH(C435,'02_品质等级'!$A$2:$A$6,0))</f>
        <v/>
      </c>
      <c r="G435" s="3">
        <f>INDEX('03_主属性基础'!$J$2:$J$13,MATCH(D435,'03_主属性基础'!$I$2:$I$13,0))</f>
        <v/>
      </c>
      <c r="H435" s="3">
        <f>E435*F435*G435</f>
        <v/>
      </c>
    </row>
    <row r="436">
      <c r="A436" s="2" t="inlineStr">
        <is>
          <t>饰品</t>
        </is>
      </c>
      <c r="B436" s="3">
        <f>INDEX('03_主属性基础'!$B$2:$B$9,MATCH(A436,'03_主属性基础'!$A$2:$A$9,0))</f>
        <v/>
      </c>
      <c r="C436" s="2" t="inlineStr">
        <is>
          <t>蓝</t>
        </is>
      </c>
      <c r="D436" s="2" t="n">
        <v>15</v>
      </c>
      <c r="E436" s="3">
        <f>INDEX('03_主属性基础'!$F$2:$F$9,MATCH(B436,'03_主属性基础'!$E$2:$E$9,0))</f>
        <v/>
      </c>
      <c r="F436" s="3">
        <f>INDEX('02_品质等级'!$C$2:$C$6,MATCH(C436,'02_品质等级'!$A$2:$A$6,0))</f>
        <v/>
      </c>
      <c r="G436" s="3">
        <f>INDEX('03_主属性基础'!$J$2:$J$13,MATCH(D436,'03_主属性基础'!$I$2:$I$13,0))</f>
        <v/>
      </c>
      <c r="H436" s="3">
        <f>E436*F436*G436</f>
        <v/>
      </c>
    </row>
    <row r="437">
      <c r="A437" s="2" t="inlineStr">
        <is>
          <t>饰品</t>
        </is>
      </c>
      <c r="B437" s="3">
        <f>INDEX('03_主属性基础'!$B$2:$B$9,MATCH(A437,'03_主属性基础'!$A$2:$A$9,0))</f>
        <v/>
      </c>
      <c r="C437" s="2" t="inlineStr">
        <is>
          <t>蓝</t>
        </is>
      </c>
      <c r="D437" s="2" t="n">
        <v>20</v>
      </c>
      <c r="E437" s="3">
        <f>INDEX('03_主属性基础'!$F$2:$F$9,MATCH(B437,'03_主属性基础'!$E$2:$E$9,0))</f>
        <v/>
      </c>
      <c r="F437" s="3">
        <f>INDEX('02_品质等级'!$C$2:$C$6,MATCH(C437,'02_品质等级'!$A$2:$A$6,0))</f>
        <v/>
      </c>
      <c r="G437" s="3">
        <f>INDEX('03_主属性基础'!$J$2:$J$13,MATCH(D437,'03_主属性基础'!$I$2:$I$13,0))</f>
        <v/>
      </c>
      <c r="H437" s="3">
        <f>E437*F437*G437</f>
        <v/>
      </c>
    </row>
    <row r="438">
      <c r="A438" s="2" t="inlineStr">
        <is>
          <t>饰品</t>
        </is>
      </c>
      <c r="B438" s="3">
        <f>INDEX('03_主属性基础'!$B$2:$B$9,MATCH(A438,'03_主属性基础'!$A$2:$A$9,0))</f>
        <v/>
      </c>
      <c r="C438" s="2" t="inlineStr">
        <is>
          <t>蓝</t>
        </is>
      </c>
      <c r="D438" s="2" t="n">
        <v>25</v>
      </c>
      <c r="E438" s="3">
        <f>INDEX('03_主属性基础'!$F$2:$F$9,MATCH(B438,'03_主属性基础'!$E$2:$E$9,0))</f>
        <v/>
      </c>
      <c r="F438" s="3">
        <f>INDEX('02_品质等级'!$C$2:$C$6,MATCH(C438,'02_品质等级'!$A$2:$A$6,0))</f>
        <v/>
      </c>
      <c r="G438" s="3">
        <f>INDEX('03_主属性基础'!$J$2:$J$13,MATCH(D438,'03_主属性基础'!$I$2:$I$13,0))</f>
        <v/>
      </c>
      <c r="H438" s="3">
        <f>E438*F438*G438</f>
        <v/>
      </c>
    </row>
    <row r="439">
      <c r="A439" s="2" t="inlineStr">
        <is>
          <t>饰品</t>
        </is>
      </c>
      <c r="B439" s="3">
        <f>INDEX('03_主属性基础'!$B$2:$B$9,MATCH(A439,'03_主属性基础'!$A$2:$A$9,0))</f>
        <v/>
      </c>
      <c r="C439" s="2" t="inlineStr">
        <is>
          <t>蓝</t>
        </is>
      </c>
      <c r="D439" s="2" t="n">
        <v>30</v>
      </c>
      <c r="E439" s="3">
        <f>INDEX('03_主属性基础'!$F$2:$F$9,MATCH(B439,'03_主属性基础'!$E$2:$E$9,0))</f>
        <v/>
      </c>
      <c r="F439" s="3">
        <f>INDEX('02_品质等级'!$C$2:$C$6,MATCH(C439,'02_品质等级'!$A$2:$A$6,0))</f>
        <v/>
      </c>
      <c r="G439" s="3">
        <f>INDEX('03_主属性基础'!$J$2:$J$13,MATCH(D439,'03_主属性基础'!$I$2:$I$13,0))</f>
        <v/>
      </c>
      <c r="H439" s="3">
        <f>E439*F439*G439</f>
        <v/>
      </c>
    </row>
    <row r="440">
      <c r="A440" s="2" t="inlineStr">
        <is>
          <t>饰品</t>
        </is>
      </c>
      <c r="B440" s="3">
        <f>INDEX('03_主属性基础'!$B$2:$B$9,MATCH(A440,'03_主属性基础'!$A$2:$A$9,0))</f>
        <v/>
      </c>
      <c r="C440" s="2" t="inlineStr">
        <is>
          <t>蓝</t>
        </is>
      </c>
      <c r="D440" s="2" t="n">
        <v>35</v>
      </c>
      <c r="E440" s="3">
        <f>INDEX('03_主属性基础'!$F$2:$F$9,MATCH(B440,'03_主属性基础'!$E$2:$E$9,0))</f>
        <v/>
      </c>
      <c r="F440" s="3">
        <f>INDEX('02_品质等级'!$C$2:$C$6,MATCH(C440,'02_品质等级'!$A$2:$A$6,0))</f>
        <v/>
      </c>
      <c r="G440" s="3">
        <f>INDEX('03_主属性基础'!$J$2:$J$13,MATCH(D440,'03_主属性基础'!$I$2:$I$13,0))</f>
        <v/>
      </c>
      <c r="H440" s="3">
        <f>E440*F440*G440</f>
        <v/>
      </c>
    </row>
    <row r="441">
      <c r="A441" s="2" t="inlineStr">
        <is>
          <t>饰品</t>
        </is>
      </c>
      <c r="B441" s="3">
        <f>INDEX('03_主属性基础'!$B$2:$B$9,MATCH(A441,'03_主属性基础'!$A$2:$A$9,0))</f>
        <v/>
      </c>
      <c r="C441" s="2" t="inlineStr">
        <is>
          <t>蓝</t>
        </is>
      </c>
      <c r="D441" s="2" t="n">
        <v>40</v>
      </c>
      <c r="E441" s="3">
        <f>INDEX('03_主属性基础'!$F$2:$F$9,MATCH(B441,'03_主属性基础'!$E$2:$E$9,0))</f>
        <v/>
      </c>
      <c r="F441" s="3">
        <f>INDEX('02_品质等级'!$C$2:$C$6,MATCH(C441,'02_品质等级'!$A$2:$A$6,0))</f>
        <v/>
      </c>
      <c r="G441" s="3">
        <f>INDEX('03_主属性基础'!$J$2:$J$13,MATCH(D441,'03_主属性基础'!$I$2:$I$13,0))</f>
        <v/>
      </c>
      <c r="H441" s="3">
        <f>E441*F441*G441</f>
        <v/>
      </c>
    </row>
    <row r="442">
      <c r="A442" s="2" t="inlineStr">
        <is>
          <t>饰品</t>
        </is>
      </c>
      <c r="B442" s="3">
        <f>INDEX('03_主属性基础'!$B$2:$B$9,MATCH(A442,'03_主属性基础'!$A$2:$A$9,0))</f>
        <v/>
      </c>
      <c r="C442" s="2" t="inlineStr">
        <is>
          <t>蓝</t>
        </is>
      </c>
      <c r="D442" s="2" t="n">
        <v>45</v>
      </c>
      <c r="E442" s="3">
        <f>INDEX('03_主属性基础'!$F$2:$F$9,MATCH(B442,'03_主属性基础'!$E$2:$E$9,0))</f>
        <v/>
      </c>
      <c r="F442" s="3">
        <f>INDEX('02_品质等级'!$C$2:$C$6,MATCH(C442,'02_品质等级'!$A$2:$A$6,0))</f>
        <v/>
      </c>
      <c r="G442" s="3">
        <f>INDEX('03_主属性基础'!$J$2:$J$13,MATCH(D442,'03_主属性基础'!$I$2:$I$13,0))</f>
        <v/>
      </c>
      <c r="H442" s="3">
        <f>E442*F442*G442</f>
        <v/>
      </c>
    </row>
    <row r="443">
      <c r="A443" s="2" t="inlineStr">
        <is>
          <t>饰品</t>
        </is>
      </c>
      <c r="B443" s="3">
        <f>INDEX('03_主属性基础'!$B$2:$B$9,MATCH(A443,'03_主属性基础'!$A$2:$A$9,0))</f>
        <v/>
      </c>
      <c r="C443" s="2" t="inlineStr">
        <is>
          <t>蓝</t>
        </is>
      </c>
      <c r="D443" s="2" t="n">
        <v>50</v>
      </c>
      <c r="E443" s="3">
        <f>INDEX('03_主属性基础'!$F$2:$F$9,MATCH(B443,'03_主属性基础'!$E$2:$E$9,0))</f>
        <v/>
      </c>
      <c r="F443" s="3">
        <f>INDEX('02_品质等级'!$C$2:$C$6,MATCH(C443,'02_品质等级'!$A$2:$A$6,0))</f>
        <v/>
      </c>
      <c r="G443" s="3">
        <f>INDEX('03_主属性基础'!$J$2:$J$13,MATCH(D443,'03_主属性基础'!$I$2:$I$13,0))</f>
        <v/>
      </c>
      <c r="H443" s="3">
        <f>E443*F443*G443</f>
        <v/>
      </c>
    </row>
    <row r="444">
      <c r="A444" s="2" t="inlineStr">
        <is>
          <t>饰品</t>
        </is>
      </c>
      <c r="B444" s="3">
        <f>INDEX('03_主属性基础'!$B$2:$B$9,MATCH(A444,'03_主属性基础'!$A$2:$A$9,0))</f>
        <v/>
      </c>
      <c r="C444" s="2" t="inlineStr">
        <is>
          <t>蓝</t>
        </is>
      </c>
      <c r="D444" s="2" t="n">
        <v>55</v>
      </c>
      <c r="E444" s="3">
        <f>INDEX('03_主属性基础'!$F$2:$F$9,MATCH(B444,'03_主属性基础'!$E$2:$E$9,0))</f>
        <v/>
      </c>
      <c r="F444" s="3">
        <f>INDEX('02_品质等级'!$C$2:$C$6,MATCH(C444,'02_品质等级'!$A$2:$A$6,0))</f>
        <v/>
      </c>
      <c r="G444" s="3">
        <f>INDEX('03_主属性基础'!$J$2:$J$13,MATCH(D444,'03_主属性基础'!$I$2:$I$13,0))</f>
        <v/>
      </c>
      <c r="H444" s="3">
        <f>E444*F444*G444</f>
        <v/>
      </c>
    </row>
    <row r="445">
      <c r="A445" s="2" t="inlineStr">
        <is>
          <t>饰品</t>
        </is>
      </c>
      <c r="B445" s="3">
        <f>INDEX('03_主属性基础'!$B$2:$B$9,MATCH(A445,'03_主属性基础'!$A$2:$A$9,0))</f>
        <v/>
      </c>
      <c r="C445" s="2" t="inlineStr">
        <is>
          <t>蓝</t>
        </is>
      </c>
      <c r="D445" s="2" t="n">
        <v>60</v>
      </c>
      <c r="E445" s="3">
        <f>INDEX('03_主属性基础'!$F$2:$F$9,MATCH(B445,'03_主属性基础'!$E$2:$E$9,0))</f>
        <v/>
      </c>
      <c r="F445" s="3">
        <f>INDEX('02_品质等级'!$C$2:$C$6,MATCH(C445,'02_品质等级'!$A$2:$A$6,0))</f>
        <v/>
      </c>
      <c r="G445" s="3">
        <f>INDEX('03_主属性基础'!$J$2:$J$13,MATCH(D445,'03_主属性基础'!$I$2:$I$13,0))</f>
        <v/>
      </c>
      <c r="H445" s="3">
        <f>E445*F445*G445</f>
        <v/>
      </c>
    </row>
    <row r="446">
      <c r="A446" s="2" t="inlineStr">
        <is>
          <t>饰品</t>
        </is>
      </c>
      <c r="B446" s="3">
        <f>INDEX('03_主属性基础'!$B$2:$B$9,MATCH(A446,'03_主属性基础'!$A$2:$A$9,0))</f>
        <v/>
      </c>
      <c r="C446" s="2" t="inlineStr">
        <is>
          <t>紫</t>
        </is>
      </c>
      <c r="D446" s="2" t="n">
        <v>5</v>
      </c>
      <c r="E446" s="3">
        <f>INDEX('03_主属性基础'!$F$2:$F$9,MATCH(B446,'03_主属性基础'!$E$2:$E$9,0))</f>
        <v/>
      </c>
      <c r="F446" s="3">
        <f>INDEX('02_品质等级'!$C$2:$C$6,MATCH(C446,'02_品质等级'!$A$2:$A$6,0))</f>
        <v/>
      </c>
      <c r="G446" s="3">
        <f>INDEX('03_主属性基础'!$J$2:$J$13,MATCH(D446,'03_主属性基础'!$I$2:$I$13,0))</f>
        <v/>
      </c>
      <c r="H446" s="3">
        <f>E446*F446*G446</f>
        <v/>
      </c>
    </row>
    <row r="447">
      <c r="A447" s="2" t="inlineStr">
        <is>
          <t>饰品</t>
        </is>
      </c>
      <c r="B447" s="3">
        <f>INDEX('03_主属性基础'!$B$2:$B$9,MATCH(A447,'03_主属性基础'!$A$2:$A$9,0))</f>
        <v/>
      </c>
      <c r="C447" s="2" t="inlineStr">
        <is>
          <t>紫</t>
        </is>
      </c>
      <c r="D447" s="2" t="n">
        <v>10</v>
      </c>
      <c r="E447" s="3">
        <f>INDEX('03_主属性基础'!$F$2:$F$9,MATCH(B447,'03_主属性基础'!$E$2:$E$9,0))</f>
        <v/>
      </c>
      <c r="F447" s="3">
        <f>INDEX('02_品质等级'!$C$2:$C$6,MATCH(C447,'02_品质等级'!$A$2:$A$6,0))</f>
        <v/>
      </c>
      <c r="G447" s="3">
        <f>INDEX('03_主属性基础'!$J$2:$J$13,MATCH(D447,'03_主属性基础'!$I$2:$I$13,0))</f>
        <v/>
      </c>
      <c r="H447" s="3">
        <f>E447*F447*G447</f>
        <v/>
      </c>
    </row>
    <row r="448">
      <c r="A448" s="2" t="inlineStr">
        <is>
          <t>饰品</t>
        </is>
      </c>
      <c r="B448" s="3">
        <f>INDEX('03_主属性基础'!$B$2:$B$9,MATCH(A448,'03_主属性基础'!$A$2:$A$9,0))</f>
        <v/>
      </c>
      <c r="C448" s="2" t="inlineStr">
        <is>
          <t>紫</t>
        </is>
      </c>
      <c r="D448" s="2" t="n">
        <v>15</v>
      </c>
      <c r="E448" s="3">
        <f>INDEX('03_主属性基础'!$F$2:$F$9,MATCH(B448,'03_主属性基础'!$E$2:$E$9,0))</f>
        <v/>
      </c>
      <c r="F448" s="3">
        <f>INDEX('02_品质等级'!$C$2:$C$6,MATCH(C448,'02_品质等级'!$A$2:$A$6,0))</f>
        <v/>
      </c>
      <c r="G448" s="3">
        <f>INDEX('03_主属性基础'!$J$2:$J$13,MATCH(D448,'03_主属性基础'!$I$2:$I$13,0))</f>
        <v/>
      </c>
      <c r="H448" s="3">
        <f>E448*F448*G448</f>
        <v/>
      </c>
    </row>
    <row r="449">
      <c r="A449" s="2" t="inlineStr">
        <is>
          <t>饰品</t>
        </is>
      </c>
      <c r="B449" s="3">
        <f>INDEX('03_主属性基础'!$B$2:$B$9,MATCH(A449,'03_主属性基础'!$A$2:$A$9,0))</f>
        <v/>
      </c>
      <c r="C449" s="2" t="inlineStr">
        <is>
          <t>紫</t>
        </is>
      </c>
      <c r="D449" s="2" t="n">
        <v>20</v>
      </c>
      <c r="E449" s="3">
        <f>INDEX('03_主属性基础'!$F$2:$F$9,MATCH(B449,'03_主属性基础'!$E$2:$E$9,0))</f>
        <v/>
      </c>
      <c r="F449" s="3">
        <f>INDEX('02_品质等级'!$C$2:$C$6,MATCH(C449,'02_品质等级'!$A$2:$A$6,0))</f>
        <v/>
      </c>
      <c r="G449" s="3">
        <f>INDEX('03_主属性基础'!$J$2:$J$13,MATCH(D449,'03_主属性基础'!$I$2:$I$13,0))</f>
        <v/>
      </c>
      <c r="H449" s="3">
        <f>E449*F449*G449</f>
        <v/>
      </c>
    </row>
    <row r="450">
      <c r="A450" s="2" t="inlineStr">
        <is>
          <t>饰品</t>
        </is>
      </c>
      <c r="B450" s="3">
        <f>INDEX('03_主属性基础'!$B$2:$B$9,MATCH(A450,'03_主属性基础'!$A$2:$A$9,0))</f>
        <v/>
      </c>
      <c r="C450" s="2" t="inlineStr">
        <is>
          <t>紫</t>
        </is>
      </c>
      <c r="D450" s="2" t="n">
        <v>25</v>
      </c>
      <c r="E450" s="3">
        <f>INDEX('03_主属性基础'!$F$2:$F$9,MATCH(B450,'03_主属性基础'!$E$2:$E$9,0))</f>
        <v/>
      </c>
      <c r="F450" s="3">
        <f>INDEX('02_品质等级'!$C$2:$C$6,MATCH(C450,'02_品质等级'!$A$2:$A$6,0))</f>
        <v/>
      </c>
      <c r="G450" s="3">
        <f>INDEX('03_主属性基础'!$J$2:$J$13,MATCH(D450,'03_主属性基础'!$I$2:$I$13,0))</f>
        <v/>
      </c>
      <c r="H450" s="3">
        <f>E450*F450*G450</f>
        <v/>
      </c>
    </row>
    <row r="451">
      <c r="A451" s="2" t="inlineStr">
        <is>
          <t>饰品</t>
        </is>
      </c>
      <c r="B451" s="3">
        <f>INDEX('03_主属性基础'!$B$2:$B$9,MATCH(A451,'03_主属性基础'!$A$2:$A$9,0))</f>
        <v/>
      </c>
      <c r="C451" s="2" t="inlineStr">
        <is>
          <t>紫</t>
        </is>
      </c>
      <c r="D451" s="2" t="n">
        <v>30</v>
      </c>
      <c r="E451" s="3">
        <f>INDEX('03_主属性基础'!$F$2:$F$9,MATCH(B451,'03_主属性基础'!$E$2:$E$9,0))</f>
        <v/>
      </c>
      <c r="F451" s="3">
        <f>INDEX('02_品质等级'!$C$2:$C$6,MATCH(C451,'02_品质等级'!$A$2:$A$6,0))</f>
        <v/>
      </c>
      <c r="G451" s="3">
        <f>INDEX('03_主属性基础'!$J$2:$J$13,MATCH(D451,'03_主属性基础'!$I$2:$I$13,0))</f>
        <v/>
      </c>
      <c r="H451" s="3">
        <f>E451*F451*G451</f>
        <v/>
      </c>
    </row>
    <row r="452">
      <c r="A452" s="2" t="inlineStr">
        <is>
          <t>饰品</t>
        </is>
      </c>
      <c r="B452" s="3">
        <f>INDEX('03_主属性基础'!$B$2:$B$9,MATCH(A452,'03_主属性基础'!$A$2:$A$9,0))</f>
        <v/>
      </c>
      <c r="C452" s="2" t="inlineStr">
        <is>
          <t>紫</t>
        </is>
      </c>
      <c r="D452" s="2" t="n">
        <v>35</v>
      </c>
      <c r="E452" s="3">
        <f>INDEX('03_主属性基础'!$F$2:$F$9,MATCH(B452,'03_主属性基础'!$E$2:$E$9,0))</f>
        <v/>
      </c>
      <c r="F452" s="3">
        <f>INDEX('02_品质等级'!$C$2:$C$6,MATCH(C452,'02_品质等级'!$A$2:$A$6,0))</f>
        <v/>
      </c>
      <c r="G452" s="3">
        <f>INDEX('03_主属性基础'!$J$2:$J$13,MATCH(D452,'03_主属性基础'!$I$2:$I$13,0))</f>
        <v/>
      </c>
      <c r="H452" s="3">
        <f>E452*F452*G452</f>
        <v/>
      </c>
    </row>
    <row r="453">
      <c r="A453" s="2" t="inlineStr">
        <is>
          <t>饰品</t>
        </is>
      </c>
      <c r="B453" s="3">
        <f>INDEX('03_主属性基础'!$B$2:$B$9,MATCH(A453,'03_主属性基础'!$A$2:$A$9,0))</f>
        <v/>
      </c>
      <c r="C453" s="2" t="inlineStr">
        <is>
          <t>紫</t>
        </is>
      </c>
      <c r="D453" s="2" t="n">
        <v>40</v>
      </c>
      <c r="E453" s="3">
        <f>INDEX('03_主属性基础'!$F$2:$F$9,MATCH(B453,'03_主属性基础'!$E$2:$E$9,0))</f>
        <v/>
      </c>
      <c r="F453" s="3">
        <f>INDEX('02_品质等级'!$C$2:$C$6,MATCH(C453,'02_品质等级'!$A$2:$A$6,0))</f>
        <v/>
      </c>
      <c r="G453" s="3">
        <f>INDEX('03_主属性基础'!$J$2:$J$13,MATCH(D453,'03_主属性基础'!$I$2:$I$13,0))</f>
        <v/>
      </c>
      <c r="H453" s="3">
        <f>E453*F453*G453</f>
        <v/>
      </c>
    </row>
    <row r="454">
      <c r="A454" s="2" t="inlineStr">
        <is>
          <t>饰品</t>
        </is>
      </c>
      <c r="B454" s="3">
        <f>INDEX('03_主属性基础'!$B$2:$B$9,MATCH(A454,'03_主属性基础'!$A$2:$A$9,0))</f>
        <v/>
      </c>
      <c r="C454" s="2" t="inlineStr">
        <is>
          <t>紫</t>
        </is>
      </c>
      <c r="D454" s="2" t="n">
        <v>45</v>
      </c>
      <c r="E454" s="3">
        <f>INDEX('03_主属性基础'!$F$2:$F$9,MATCH(B454,'03_主属性基础'!$E$2:$E$9,0))</f>
        <v/>
      </c>
      <c r="F454" s="3">
        <f>INDEX('02_品质等级'!$C$2:$C$6,MATCH(C454,'02_品质等级'!$A$2:$A$6,0))</f>
        <v/>
      </c>
      <c r="G454" s="3">
        <f>INDEX('03_主属性基础'!$J$2:$J$13,MATCH(D454,'03_主属性基础'!$I$2:$I$13,0))</f>
        <v/>
      </c>
      <c r="H454" s="3">
        <f>E454*F454*G454</f>
        <v/>
      </c>
    </row>
    <row r="455">
      <c r="A455" s="2" t="inlineStr">
        <is>
          <t>饰品</t>
        </is>
      </c>
      <c r="B455" s="3">
        <f>INDEX('03_主属性基础'!$B$2:$B$9,MATCH(A455,'03_主属性基础'!$A$2:$A$9,0))</f>
        <v/>
      </c>
      <c r="C455" s="2" t="inlineStr">
        <is>
          <t>紫</t>
        </is>
      </c>
      <c r="D455" s="2" t="n">
        <v>50</v>
      </c>
      <c r="E455" s="3">
        <f>INDEX('03_主属性基础'!$F$2:$F$9,MATCH(B455,'03_主属性基础'!$E$2:$E$9,0))</f>
        <v/>
      </c>
      <c r="F455" s="3">
        <f>INDEX('02_品质等级'!$C$2:$C$6,MATCH(C455,'02_品质等级'!$A$2:$A$6,0))</f>
        <v/>
      </c>
      <c r="G455" s="3">
        <f>INDEX('03_主属性基础'!$J$2:$J$13,MATCH(D455,'03_主属性基础'!$I$2:$I$13,0))</f>
        <v/>
      </c>
      <c r="H455" s="3">
        <f>E455*F455*G455</f>
        <v/>
      </c>
    </row>
    <row r="456">
      <c r="A456" s="2" t="inlineStr">
        <is>
          <t>饰品</t>
        </is>
      </c>
      <c r="B456" s="3">
        <f>INDEX('03_主属性基础'!$B$2:$B$9,MATCH(A456,'03_主属性基础'!$A$2:$A$9,0))</f>
        <v/>
      </c>
      <c r="C456" s="2" t="inlineStr">
        <is>
          <t>紫</t>
        </is>
      </c>
      <c r="D456" s="2" t="n">
        <v>55</v>
      </c>
      <c r="E456" s="3">
        <f>INDEX('03_主属性基础'!$F$2:$F$9,MATCH(B456,'03_主属性基础'!$E$2:$E$9,0))</f>
        <v/>
      </c>
      <c r="F456" s="3">
        <f>INDEX('02_品质等级'!$C$2:$C$6,MATCH(C456,'02_品质等级'!$A$2:$A$6,0))</f>
        <v/>
      </c>
      <c r="G456" s="3">
        <f>INDEX('03_主属性基础'!$J$2:$J$13,MATCH(D456,'03_主属性基础'!$I$2:$I$13,0))</f>
        <v/>
      </c>
      <c r="H456" s="3">
        <f>E456*F456*G456</f>
        <v/>
      </c>
    </row>
    <row r="457">
      <c r="A457" s="2" t="inlineStr">
        <is>
          <t>饰品</t>
        </is>
      </c>
      <c r="B457" s="3">
        <f>INDEX('03_主属性基础'!$B$2:$B$9,MATCH(A457,'03_主属性基础'!$A$2:$A$9,0))</f>
        <v/>
      </c>
      <c r="C457" s="2" t="inlineStr">
        <is>
          <t>紫</t>
        </is>
      </c>
      <c r="D457" s="2" t="n">
        <v>60</v>
      </c>
      <c r="E457" s="3">
        <f>INDEX('03_主属性基础'!$F$2:$F$9,MATCH(B457,'03_主属性基础'!$E$2:$E$9,0))</f>
        <v/>
      </c>
      <c r="F457" s="3">
        <f>INDEX('02_品质等级'!$C$2:$C$6,MATCH(C457,'02_品质等级'!$A$2:$A$6,0))</f>
        <v/>
      </c>
      <c r="G457" s="3">
        <f>INDEX('03_主属性基础'!$J$2:$J$13,MATCH(D457,'03_主属性基础'!$I$2:$I$13,0))</f>
        <v/>
      </c>
      <c r="H457" s="3">
        <f>E457*F457*G457</f>
        <v/>
      </c>
    </row>
    <row r="458">
      <c r="A458" s="2" t="inlineStr">
        <is>
          <t>饰品</t>
        </is>
      </c>
      <c r="B458" s="3">
        <f>INDEX('03_主属性基础'!$B$2:$B$9,MATCH(A458,'03_主属性基础'!$A$2:$A$9,0))</f>
        <v/>
      </c>
      <c r="C458" s="2" t="inlineStr">
        <is>
          <t>金</t>
        </is>
      </c>
      <c r="D458" s="2" t="n">
        <v>5</v>
      </c>
      <c r="E458" s="3">
        <f>INDEX('03_主属性基础'!$F$2:$F$9,MATCH(B458,'03_主属性基础'!$E$2:$E$9,0))</f>
        <v/>
      </c>
      <c r="F458" s="3">
        <f>INDEX('02_品质等级'!$C$2:$C$6,MATCH(C458,'02_品质等级'!$A$2:$A$6,0))</f>
        <v/>
      </c>
      <c r="G458" s="3">
        <f>INDEX('03_主属性基础'!$J$2:$J$13,MATCH(D458,'03_主属性基础'!$I$2:$I$13,0))</f>
        <v/>
      </c>
      <c r="H458" s="3">
        <f>E458*F458*G458</f>
        <v/>
      </c>
    </row>
    <row r="459">
      <c r="A459" s="2" t="inlineStr">
        <is>
          <t>饰品</t>
        </is>
      </c>
      <c r="B459" s="3">
        <f>INDEX('03_主属性基础'!$B$2:$B$9,MATCH(A459,'03_主属性基础'!$A$2:$A$9,0))</f>
        <v/>
      </c>
      <c r="C459" s="2" t="inlineStr">
        <is>
          <t>金</t>
        </is>
      </c>
      <c r="D459" s="2" t="n">
        <v>10</v>
      </c>
      <c r="E459" s="3">
        <f>INDEX('03_主属性基础'!$F$2:$F$9,MATCH(B459,'03_主属性基础'!$E$2:$E$9,0))</f>
        <v/>
      </c>
      <c r="F459" s="3">
        <f>INDEX('02_品质等级'!$C$2:$C$6,MATCH(C459,'02_品质等级'!$A$2:$A$6,0))</f>
        <v/>
      </c>
      <c r="G459" s="3">
        <f>INDEX('03_主属性基础'!$J$2:$J$13,MATCH(D459,'03_主属性基础'!$I$2:$I$13,0))</f>
        <v/>
      </c>
      <c r="H459" s="3">
        <f>E459*F459*G459</f>
        <v/>
      </c>
    </row>
    <row r="460">
      <c r="A460" s="2" t="inlineStr">
        <is>
          <t>饰品</t>
        </is>
      </c>
      <c r="B460" s="3">
        <f>INDEX('03_主属性基础'!$B$2:$B$9,MATCH(A460,'03_主属性基础'!$A$2:$A$9,0))</f>
        <v/>
      </c>
      <c r="C460" s="2" t="inlineStr">
        <is>
          <t>金</t>
        </is>
      </c>
      <c r="D460" s="2" t="n">
        <v>15</v>
      </c>
      <c r="E460" s="3">
        <f>INDEX('03_主属性基础'!$F$2:$F$9,MATCH(B460,'03_主属性基础'!$E$2:$E$9,0))</f>
        <v/>
      </c>
      <c r="F460" s="3">
        <f>INDEX('02_品质等级'!$C$2:$C$6,MATCH(C460,'02_品质等级'!$A$2:$A$6,0))</f>
        <v/>
      </c>
      <c r="G460" s="3">
        <f>INDEX('03_主属性基础'!$J$2:$J$13,MATCH(D460,'03_主属性基础'!$I$2:$I$13,0))</f>
        <v/>
      </c>
      <c r="H460" s="3">
        <f>E460*F460*G460</f>
        <v/>
      </c>
    </row>
    <row r="461">
      <c r="A461" s="2" t="inlineStr">
        <is>
          <t>饰品</t>
        </is>
      </c>
      <c r="B461" s="3">
        <f>INDEX('03_主属性基础'!$B$2:$B$9,MATCH(A461,'03_主属性基础'!$A$2:$A$9,0))</f>
        <v/>
      </c>
      <c r="C461" s="2" t="inlineStr">
        <is>
          <t>金</t>
        </is>
      </c>
      <c r="D461" s="2" t="n">
        <v>20</v>
      </c>
      <c r="E461" s="3">
        <f>INDEX('03_主属性基础'!$F$2:$F$9,MATCH(B461,'03_主属性基础'!$E$2:$E$9,0))</f>
        <v/>
      </c>
      <c r="F461" s="3">
        <f>INDEX('02_品质等级'!$C$2:$C$6,MATCH(C461,'02_品质等级'!$A$2:$A$6,0))</f>
        <v/>
      </c>
      <c r="G461" s="3">
        <f>INDEX('03_主属性基础'!$J$2:$J$13,MATCH(D461,'03_主属性基础'!$I$2:$I$13,0))</f>
        <v/>
      </c>
      <c r="H461" s="3">
        <f>E461*F461*G461</f>
        <v/>
      </c>
    </row>
    <row r="462">
      <c r="A462" s="2" t="inlineStr">
        <is>
          <t>饰品</t>
        </is>
      </c>
      <c r="B462" s="3">
        <f>INDEX('03_主属性基础'!$B$2:$B$9,MATCH(A462,'03_主属性基础'!$A$2:$A$9,0))</f>
        <v/>
      </c>
      <c r="C462" s="2" t="inlineStr">
        <is>
          <t>金</t>
        </is>
      </c>
      <c r="D462" s="2" t="n">
        <v>25</v>
      </c>
      <c r="E462" s="3">
        <f>INDEX('03_主属性基础'!$F$2:$F$9,MATCH(B462,'03_主属性基础'!$E$2:$E$9,0))</f>
        <v/>
      </c>
      <c r="F462" s="3">
        <f>INDEX('02_品质等级'!$C$2:$C$6,MATCH(C462,'02_品质等级'!$A$2:$A$6,0))</f>
        <v/>
      </c>
      <c r="G462" s="3">
        <f>INDEX('03_主属性基础'!$J$2:$J$13,MATCH(D462,'03_主属性基础'!$I$2:$I$13,0))</f>
        <v/>
      </c>
      <c r="H462" s="3">
        <f>E462*F462*G462</f>
        <v/>
      </c>
    </row>
    <row r="463">
      <c r="A463" s="2" t="inlineStr">
        <is>
          <t>饰品</t>
        </is>
      </c>
      <c r="B463" s="3">
        <f>INDEX('03_主属性基础'!$B$2:$B$9,MATCH(A463,'03_主属性基础'!$A$2:$A$9,0))</f>
        <v/>
      </c>
      <c r="C463" s="2" t="inlineStr">
        <is>
          <t>金</t>
        </is>
      </c>
      <c r="D463" s="2" t="n">
        <v>30</v>
      </c>
      <c r="E463" s="3">
        <f>INDEX('03_主属性基础'!$F$2:$F$9,MATCH(B463,'03_主属性基础'!$E$2:$E$9,0))</f>
        <v/>
      </c>
      <c r="F463" s="3">
        <f>INDEX('02_品质等级'!$C$2:$C$6,MATCH(C463,'02_品质等级'!$A$2:$A$6,0))</f>
        <v/>
      </c>
      <c r="G463" s="3">
        <f>INDEX('03_主属性基础'!$J$2:$J$13,MATCH(D463,'03_主属性基础'!$I$2:$I$13,0))</f>
        <v/>
      </c>
      <c r="H463" s="3">
        <f>E463*F463*G463</f>
        <v/>
      </c>
    </row>
    <row r="464">
      <c r="A464" s="2" t="inlineStr">
        <is>
          <t>饰品</t>
        </is>
      </c>
      <c r="B464" s="3">
        <f>INDEX('03_主属性基础'!$B$2:$B$9,MATCH(A464,'03_主属性基础'!$A$2:$A$9,0))</f>
        <v/>
      </c>
      <c r="C464" s="2" t="inlineStr">
        <is>
          <t>金</t>
        </is>
      </c>
      <c r="D464" s="2" t="n">
        <v>35</v>
      </c>
      <c r="E464" s="3">
        <f>INDEX('03_主属性基础'!$F$2:$F$9,MATCH(B464,'03_主属性基础'!$E$2:$E$9,0))</f>
        <v/>
      </c>
      <c r="F464" s="3">
        <f>INDEX('02_品质等级'!$C$2:$C$6,MATCH(C464,'02_品质等级'!$A$2:$A$6,0))</f>
        <v/>
      </c>
      <c r="G464" s="3">
        <f>INDEX('03_主属性基础'!$J$2:$J$13,MATCH(D464,'03_主属性基础'!$I$2:$I$13,0))</f>
        <v/>
      </c>
      <c r="H464" s="3">
        <f>E464*F464*G464</f>
        <v/>
      </c>
    </row>
    <row r="465">
      <c r="A465" s="2" t="inlineStr">
        <is>
          <t>饰品</t>
        </is>
      </c>
      <c r="B465" s="3">
        <f>INDEX('03_主属性基础'!$B$2:$B$9,MATCH(A465,'03_主属性基础'!$A$2:$A$9,0))</f>
        <v/>
      </c>
      <c r="C465" s="2" t="inlineStr">
        <is>
          <t>金</t>
        </is>
      </c>
      <c r="D465" s="2" t="n">
        <v>40</v>
      </c>
      <c r="E465" s="3">
        <f>INDEX('03_主属性基础'!$F$2:$F$9,MATCH(B465,'03_主属性基础'!$E$2:$E$9,0))</f>
        <v/>
      </c>
      <c r="F465" s="3">
        <f>INDEX('02_品质等级'!$C$2:$C$6,MATCH(C465,'02_品质等级'!$A$2:$A$6,0))</f>
        <v/>
      </c>
      <c r="G465" s="3">
        <f>INDEX('03_主属性基础'!$J$2:$J$13,MATCH(D465,'03_主属性基础'!$I$2:$I$13,0))</f>
        <v/>
      </c>
      <c r="H465" s="3">
        <f>E465*F465*G465</f>
        <v/>
      </c>
    </row>
    <row r="466">
      <c r="A466" s="2" t="inlineStr">
        <is>
          <t>饰品</t>
        </is>
      </c>
      <c r="B466" s="3">
        <f>INDEX('03_主属性基础'!$B$2:$B$9,MATCH(A466,'03_主属性基础'!$A$2:$A$9,0))</f>
        <v/>
      </c>
      <c r="C466" s="2" t="inlineStr">
        <is>
          <t>金</t>
        </is>
      </c>
      <c r="D466" s="2" t="n">
        <v>45</v>
      </c>
      <c r="E466" s="3">
        <f>INDEX('03_主属性基础'!$F$2:$F$9,MATCH(B466,'03_主属性基础'!$E$2:$E$9,0))</f>
        <v/>
      </c>
      <c r="F466" s="3">
        <f>INDEX('02_品质等级'!$C$2:$C$6,MATCH(C466,'02_品质等级'!$A$2:$A$6,0))</f>
        <v/>
      </c>
      <c r="G466" s="3">
        <f>INDEX('03_主属性基础'!$J$2:$J$13,MATCH(D466,'03_主属性基础'!$I$2:$I$13,0))</f>
        <v/>
      </c>
      <c r="H466" s="3">
        <f>E466*F466*G466</f>
        <v/>
      </c>
    </row>
    <row r="467">
      <c r="A467" s="2" t="inlineStr">
        <is>
          <t>饰品</t>
        </is>
      </c>
      <c r="B467" s="3">
        <f>INDEX('03_主属性基础'!$B$2:$B$9,MATCH(A467,'03_主属性基础'!$A$2:$A$9,0))</f>
        <v/>
      </c>
      <c r="C467" s="2" t="inlineStr">
        <is>
          <t>金</t>
        </is>
      </c>
      <c r="D467" s="2" t="n">
        <v>50</v>
      </c>
      <c r="E467" s="3">
        <f>INDEX('03_主属性基础'!$F$2:$F$9,MATCH(B467,'03_主属性基础'!$E$2:$E$9,0))</f>
        <v/>
      </c>
      <c r="F467" s="3">
        <f>INDEX('02_品质等级'!$C$2:$C$6,MATCH(C467,'02_品质等级'!$A$2:$A$6,0))</f>
        <v/>
      </c>
      <c r="G467" s="3">
        <f>INDEX('03_主属性基础'!$J$2:$J$13,MATCH(D467,'03_主属性基础'!$I$2:$I$13,0))</f>
        <v/>
      </c>
      <c r="H467" s="3">
        <f>E467*F467*G467</f>
        <v/>
      </c>
    </row>
    <row r="468">
      <c r="A468" s="2" t="inlineStr">
        <is>
          <t>饰品</t>
        </is>
      </c>
      <c r="B468" s="3">
        <f>INDEX('03_主属性基础'!$B$2:$B$9,MATCH(A468,'03_主属性基础'!$A$2:$A$9,0))</f>
        <v/>
      </c>
      <c r="C468" s="2" t="inlineStr">
        <is>
          <t>金</t>
        </is>
      </c>
      <c r="D468" s="2" t="n">
        <v>55</v>
      </c>
      <c r="E468" s="3">
        <f>INDEX('03_主属性基础'!$F$2:$F$9,MATCH(B468,'03_主属性基础'!$E$2:$E$9,0))</f>
        <v/>
      </c>
      <c r="F468" s="3">
        <f>INDEX('02_品质等级'!$C$2:$C$6,MATCH(C468,'02_品质等级'!$A$2:$A$6,0))</f>
        <v/>
      </c>
      <c r="G468" s="3">
        <f>INDEX('03_主属性基础'!$J$2:$J$13,MATCH(D468,'03_主属性基础'!$I$2:$I$13,0))</f>
        <v/>
      </c>
      <c r="H468" s="3">
        <f>E468*F468*G468</f>
        <v/>
      </c>
    </row>
    <row r="469">
      <c r="A469" s="2" t="inlineStr">
        <is>
          <t>饰品</t>
        </is>
      </c>
      <c r="B469" s="3">
        <f>INDEX('03_主属性基础'!$B$2:$B$9,MATCH(A469,'03_主属性基础'!$A$2:$A$9,0))</f>
        <v/>
      </c>
      <c r="C469" s="2" t="inlineStr">
        <is>
          <t>金</t>
        </is>
      </c>
      <c r="D469" s="2" t="n">
        <v>60</v>
      </c>
      <c r="E469" s="3">
        <f>INDEX('03_主属性基础'!$F$2:$F$9,MATCH(B469,'03_主属性基础'!$E$2:$E$9,0))</f>
        <v/>
      </c>
      <c r="F469" s="3">
        <f>INDEX('02_品质等级'!$C$2:$C$6,MATCH(C469,'02_品质等级'!$A$2:$A$6,0))</f>
        <v/>
      </c>
      <c r="G469" s="3">
        <f>INDEX('03_主属性基础'!$J$2:$J$13,MATCH(D469,'03_主属性基础'!$I$2:$I$13,0))</f>
        <v/>
      </c>
      <c r="H469" s="3">
        <f>E469*F469*G469</f>
        <v/>
      </c>
    </row>
    <row r="470">
      <c r="A470" s="2" t="inlineStr">
        <is>
          <t>饰品</t>
        </is>
      </c>
      <c r="B470" s="3">
        <f>INDEX('03_主属性基础'!$B$2:$B$9,MATCH(A470,'03_主属性基础'!$A$2:$A$9,0))</f>
        <v/>
      </c>
      <c r="C470" s="2" t="inlineStr">
        <is>
          <t>红</t>
        </is>
      </c>
      <c r="D470" s="2" t="n">
        <v>5</v>
      </c>
      <c r="E470" s="3">
        <f>INDEX('03_主属性基础'!$F$2:$F$9,MATCH(B470,'03_主属性基础'!$E$2:$E$9,0))</f>
        <v/>
      </c>
      <c r="F470" s="3">
        <f>INDEX('02_品质等级'!$C$2:$C$6,MATCH(C470,'02_品质等级'!$A$2:$A$6,0))</f>
        <v/>
      </c>
      <c r="G470" s="3">
        <f>INDEX('03_主属性基础'!$J$2:$J$13,MATCH(D470,'03_主属性基础'!$I$2:$I$13,0))</f>
        <v/>
      </c>
      <c r="H470" s="3">
        <f>E470*F470*G470</f>
        <v/>
      </c>
    </row>
    <row r="471">
      <c r="A471" s="2" t="inlineStr">
        <is>
          <t>饰品</t>
        </is>
      </c>
      <c r="B471" s="3">
        <f>INDEX('03_主属性基础'!$B$2:$B$9,MATCH(A471,'03_主属性基础'!$A$2:$A$9,0))</f>
        <v/>
      </c>
      <c r="C471" s="2" t="inlineStr">
        <is>
          <t>红</t>
        </is>
      </c>
      <c r="D471" s="2" t="n">
        <v>10</v>
      </c>
      <c r="E471" s="3">
        <f>INDEX('03_主属性基础'!$F$2:$F$9,MATCH(B471,'03_主属性基础'!$E$2:$E$9,0))</f>
        <v/>
      </c>
      <c r="F471" s="3">
        <f>INDEX('02_品质等级'!$C$2:$C$6,MATCH(C471,'02_品质等级'!$A$2:$A$6,0))</f>
        <v/>
      </c>
      <c r="G471" s="3">
        <f>INDEX('03_主属性基础'!$J$2:$J$13,MATCH(D471,'03_主属性基础'!$I$2:$I$13,0))</f>
        <v/>
      </c>
      <c r="H471" s="3">
        <f>E471*F471*G471</f>
        <v/>
      </c>
    </row>
    <row r="472">
      <c r="A472" s="2" t="inlineStr">
        <is>
          <t>饰品</t>
        </is>
      </c>
      <c r="B472" s="3">
        <f>INDEX('03_主属性基础'!$B$2:$B$9,MATCH(A472,'03_主属性基础'!$A$2:$A$9,0))</f>
        <v/>
      </c>
      <c r="C472" s="2" t="inlineStr">
        <is>
          <t>红</t>
        </is>
      </c>
      <c r="D472" s="2" t="n">
        <v>15</v>
      </c>
      <c r="E472" s="3">
        <f>INDEX('03_主属性基础'!$F$2:$F$9,MATCH(B472,'03_主属性基础'!$E$2:$E$9,0))</f>
        <v/>
      </c>
      <c r="F472" s="3">
        <f>INDEX('02_品质等级'!$C$2:$C$6,MATCH(C472,'02_品质等级'!$A$2:$A$6,0))</f>
        <v/>
      </c>
      <c r="G472" s="3">
        <f>INDEX('03_主属性基础'!$J$2:$J$13,MATCH(D472,'03_主属性基础'!$I$2:$I$13,0))</f>
        <v/>
      </c>
      <c r="H472" s="3">
        <f>E472*F472*G472</f>
        <v/>
      </c>
    </row>
    <row r="473">
      <c r="A473" s="2" t="inlineStr">
        <is>
          <t>饰品</t>
        </is>
      </c>
      <c r="B473" s="3">
        <f>INDEX('03_主属性基础'!$B$2:$B$9,MATCH(A473,'03_主属性基础'!$A$2:$A$9,0))</f>
        <v/>
      </c>
      <c r="C473" s="2" t="inlineStr">
        <is>
          <t>红</t>
        </is>
      </c>
      <c r="D473" s="2" t="n">
        <v>20</v>
      </c>
      <c r="E473" s="3">
        <f>INDEX('03_主属性基础'!$F$2:$F$9,MATCH(B473,'03_主属性基础'!$E$2:$E$9,0))</f>
        <v/>
      </c>
      <c r="F473" s="3">
        <f>INDEX('02_品质等级'!$C$2:$C$6,MATCH(C473,'02_品质等级'!$A$2:$A$6,0))</f>
        <v/>
      </c>
      <c r="G473" s="3">
        <f>INDEX('03_主属性基础'!$J$2:$J$13,MATCH(D473,'03_主属性基础'!$I$2:$I$13,0))</f>
        <v/>
      </c>
      <c r="H473" s="3">
        <f>E473*F473*G473</f>
        <v/>
      </c>
    </row>
    <row r="474">
      <c r="A474" s="2" t="inlineStr">
        <is>
          <t>饰品</t>
        </is>
      </c>
      <c r="B474" s="3">
        <f>INDEX('03_主属性基础'!$B$2:$B$9,MATCH(A474,'03_主属性基础'!$A$2:$A$9,0))</f>
        <v/>
      </c>
      <c r="C474" s="2" t="inlineStr">
        <is>
          <t>红</t>
        </is>
      </c>
      <c r="D474" s="2" t="n">
        <v>25</v>
      </c>
      <c r="E474" s="3">
        <f>INDEX('03_主属性基础'!$F$2:$F$9,MATCH(B474,'03_主属性基础'!$E$2:$E$9,0))</f>
        <v/>
      </c>
      <c r="F474" s="3">
        <f>INDEX('02_品质等级'!$C$2:$C$6,MATCH(C474,'02_品质等级'!$A$2:$A$6,0))</f>
        <v/>
      </c>
      <c r="G474" s="3">
        <f>INDEX('03_主属性基础'!$J$2:$J$13,MATCH(D474,'03_主属性基础'!$I$2:$I$13,0))</f>
        <v/>
      </c>
      <c r="H474" s="3">
        <f>E474*F474*G474</f>
        <v/>
      </c>
    </row>
    <row r="475">
      <c r="A475" s="2" t="inlineStr">
        <is>
          <t>饰品</t>
        </is>
      </c>
      <c r="B475" s="3">
        <f>INDEX('03_主属性基础'!$B$2:$B$9,MATCH(A475,'03_主属性基础'!$A$2:$A$9,0))</f>
        <v/>
      </c>
      <c r="C475" s="2" t="inlineStr">
        <is>
          <t>红</t>
        </is>
      </c>
      <c r="D475" s="2" t="n">
        <v>30</v>
      </c>
      <c r="E475" s="3">
        <f>INDEX('03_主属性基础'!$F$2:$F$9,MATCH(B475,'03_主属性基础'!$E$2:$E$9,0))</f>
        <v/>
      </c>
      <c r="F475" s="3">
        <f>INDEX('02_品质等级'!$C$2:$C$6,MATCH(C475,'02_品质等级'!$A$2:$A$6,0))</f>
        <v/>
      </c>
      <c r="G475" s="3">
        <f>INDEX('03_主属性基础'!$J$2:$J$13,MATCH(D475,'03_主属性基础'!$I$2:$I$13,0))</f>
        <v/>
      </c>
      <c r="H475" s="3">
        <f>E475*F475*G475</f>
        <v/>
      </c>
    </row>
    <row r="476">
      <c r="A476" s="2" t="inlineStr">
        <is>
          <t>饰品</t>
        </is>
      </c>
      <c r="B476" s="3">
        <f>INDEX('03_主属性基础'!$B$2:$B$9,MATCH(A476,'03_主属性基础'!$A$2:$A$9,0))</f>
        <v/>
      </c>
      <c r="C476" s="2" t="inlineStr">
        <is>
          <t>红</t>
        </is>
      </c>
      <c r="D476" s="2" t="n">
        <v>35</v>
      </c>
      <c r="E476" s="3">
        <f>INDEX('03_主属性基础'!$F$2:$F$9,MATCH(B476,'03_主属性基础'!$E$2:$E$9,0))</f>
        <v/>
      </c>
      <c r="F476" s="3">
        <f>INDEX('02_品质等级'!$C$2:$C$6,MATCH(C476,'02_品质等级'!$A$2:$A$6,0))</f>
        <v/>
      </c>
      <c r="G476" s="3">
        <f>INDEX('03_主属性基础'!$J$2:$J$13,MATCH(D476,'03_主属性基础'!$I$2:$I$13,0))</f>
        <v/>
      </c>
      <c r="H476" s="3">
        <f>E476*F476*G476</f>
        <v/>
      </c>
    </row>
    <row r="477">
      <c r="A477" s="2" t="inlineStr">
        <is>
          <t>饰品</t>
        </is>
      </c>
      <c r="B477" s="3">
        <f>INDEX('03_主属性基础'!$B$2:$B$9,MATCH(A477,'03_主属性基础'!$A$2:$A$9,0))</f>
        <v/>
      </c>
      <c r="C477" s="2" t="inlineStr">
        <is>
          <t>红</t>
        </is>
      </c>
      <c r="D477" s="2" t="n">
        <v>40</v>
      </c>
      <c r="E477" s="3">
        <f>INDEX('03_主属性基础'!$F$2:$F$9,MATCH(B477,'03_主属性基础'!$E$2:$E$9,0))</f>
        <v/>
      </c>
      <c r="F477" s="3">
        <f>INDEX('02_品质等级'!$C$2:$C$6,MATCH(C477,'02_品质等级'!$A$2:$A$6,0))</f>
        <v/>
      </c>
      <c r="G477" s="3">
        <f>INDEX('03_主属性基础'!$J$2:$J$13,MATCH(D477,'03_主属性基础'!$I$2:$I$13,0))</f>
        <v/>
      </c>
      <c r="H477" s="3">
        <f>E477*F477*G477</f>
        <v/>
      </c>
    </row>
    <row r="478">
      <c r="A478" s="2" t="inlineStr">
        <is>
          <t>饰品</t>
        </is>
      </c>
      <c r="B478" s="3">
        <f>INDEX('03_主属性基础'!$B$2:$B$9,MATCH(A478,'03_主属性基础'!$A$2:$A$9,0))</f>
        <v/>
      </c>
      <c r="C478" s="2" t="inlineStr">
        <is>
          <t>红</t>
        </is>
      </c>
      <c r="D478" s="2" t="n">
        <v>45</v>
      </c>
      <c r="E478" s="3">
        <f>INDEX('03_主属性基础'!$F$2:$F$9,MATCH(B478,'03_主属性基础'!$E$2:$E$9,0))</f>
        <v/>
      </c>
      <c r="F478" s="3">
        <f>INDEX('02_品质等级'!$C$2:$C$6,MATCH(C478,'02_品质等级'!$A$2:$A$6,0))</f>
        <v/>
      </c>
      <c r="G478" s="3">
        <f>INDEX('03_主属性基础'!$J$2:$J$13,MATCH(D478,'03_主属性基础'!$I$2:$I$13,0))</f>
        <v/>
      </c>
      <c r="H478" s="3">
        <f>E478*F478*G478</f>
        <v/>
      </c>
    </row>
    <row r="479">
      <c r="A479" s="2" t="inlineStr">
        <is>
          <t>饰品</t>
        </is>
      </c>
      <c r="B479" s="3">
        <f>INDEX('03_主属性基础'!$B$2:$B$9,MATCH(A479,'03_主属性基础'!$A$2:$A$9,0))</f>
        <v/>
      </c>
      <c r="C479" s="2" t="inlineStr">
        <is>
          <t>红</t>
        </is>
      </c>
      <c r="D479" s="2" t="n">
        <v>50</v>
      </c>
      <c r="E479" s="3">
        <f>INDEX('03_主属性基础'!$F$2:$F$9,MATCH(B479,'03_主属性基础'!$E$2:$E$9,0))</f>
        <v/>
      </c>
      <c r="F479" s="3">
        <f>INDEX('02_品质等级'!$C$2:$C$6,MATCH(C479,'02_品质等级'!$A$2:$A$6,0))</f>
        <v/>
      </c>
      <c r="G479" s="3">
        <f>INDEX('03_主属性基础'!$J$2:$J$13,MATCH(D479,'03_主属性基础'!$I$2:$I$13,0))</f>
        <v/>
      </c>
      <c r="H479" s="3">
        <f>E479*F479*G479</f>
        <v/>
      </c>
    </row>
    <row r="480">
      <c r="A480" s="2" t="inlineStr">
        <is>
          <t>饰品</t>
        </is>
      </c>
      <c r="B480" s="3">
        <f>INDEX('03_主属性基础'!$B$2:$B$9,MATCH(A480,'03_主属性基础'!$A$2:$A$9,0))</f>
        <v/>
      </c>
      <c r="C480" s="2" t="inlineStr">
        <is>
          <t>红</t>
        </is>
      </c>
      <c r="D480" s="2" t="n">
        <v>55</v>
      </c>
      <c r="E480" s="3">
        <f>INDEX('03_主属性基础'!$F$2:$F$9,MATCH(B480,'03_主属性基础'!$E$2:$E$9,0))</f>
        <v/>
      </c>
      <c r="F480" s="3">
        <f>INDEX('02_品质等级'!$C$2:$C$6,MATCH(C480,'02_品质等级'!$A$2:$A$6,0))</f>
        <v/>
      </c>
      <c r="G480" s="3">
        <f>INDEX('03_主属性基础'!$J$2:$J$13,MATCH(D480,'03_主属性基础'!$I$2:$I$13,0))</f>
        <v/>
      </c>
      <c r="H480" s="3">
        <f>E480*F480*G480</f>
        <v/>
      </c>
    </row>
    <row r="481">
      <c r="A481" s="2" t="inlineStr">
        <is>
          <t>饰品</t>
        </is>
      </c>
      <c r="B481" s="3">
        <f>INDEX('03_主属性基础'!$B$2:$B$9,MATCH(A481,'03_主属性基础'!$A$2:$A$9,0))</f>
        <v/>
      </c>
      <c r="C481" s="2" t="inlineStr">
        <is>
          <t>红</t>
        </is>
      </c>
      <c r="D481" s="2" t="n">
        <v>60</v>
      </c>
      <c r="E481" s="3">
        <f>INDEX('03_主属性基础'!$F$2:$F$9,MATCH(B481,'03_主属性基础'!$E$2:$E$9,0))</f>
        <v/>
      </c>
      <c r="F481" s="3">
        <f>INDEX('02_品质等级'!$C$2:$C$6,MATCH(C481,'02_品质等级'!$A$2:$A$6,0))</f>
        <v/>
      </c>
      <c r="G481" s="3">
        <f>INDEX('03_主属性基础'!$J$2:$J$13,MATCH(D481,'03_主属性基础'!$I$2:$I$13,0))</f>
        <v/>
      </c>
      <c r="H481" s="3">
        <f>E481*F481*G481</f>
        <v/>
      </c>
    </row>
  </sheetData>
  <autoFilter ref="A1:H48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副属性</t>
        </is>
      </c>
      <c r="B1" s="1" t="inlineStr">
        <is>
          <t>当前ValueMax</t>
        </is>
      </c>
      <c r="C1" s="1" t="inlineStr">
        <is>
          <t>新标准值S</t>
        </is>
      </c>
      <c r="D1" s="1" t="inlineStr">
        <is>
          <t>Lv60红装随机区间</t>
        </is>
      </c>
      <c r="E1" s="1" t="inlineStr">
        <is>
          <t>单位</t>
        </is>
      </c>
      <c r="F1" s="1" t="inlineStr"/>
      <c r="G1" s="1" t="inlineStr">
        <is>
          <t>等级</t>
        </is>
      </c>
      <c r="H1" s="1" t="inlineStr">
        <is>
          <t>百分比等级倍率</t>
        </is>
      </c>
      <c r="I1" s="1" t="inlineStr">
        <is>
          <t>固定值等级倍率</t>
        </is>
      </c>
    </row>
    <row r="2">
      <c r="A2" s="2" t="inlineStr">
        <is>
          <t>攻击百分比</t>
        </is>
      </c>
      <c r="B2" s="2" t="n">
        <v>0.329</v>
      </c>
      <c r="C2" s="4" t="n">
        <v>0.1645</v>
      </c>
      <c r="D2" s="2" t="inlineStr">
        <is>
          <t>19.74%～23.03%</t>
        </is>
      </c>
      <c r="E2" s="2" t="inlineStr">
        <is>
          <t>比例</t>
        </is>
      </c>
      <c r="F2" s="2" t="inlineStr"/>
      <c r="G2" s="2" t="n">
        <v>5</v>
      </c>
      <c r="H2" s="2" t="n">
        <v>0.45</v>
      </c>
      <c r="I2" s="2" t="n">
        <v>0.03</v>
      </c>
    </row>
    <row r="3">
      <c r="A3" s="2" t="inlineStr">
        <is>
          <t>防御百分比</t>
        </is>
      </c>
      <c r="B3" s="2" t="n">
        <v>0.329</v>
      </c>
      <c r="C3" s="4" t="n">
        <v>0.1645</v>
      </c>
      <c r="D3" s="2" t="inlineStr">
        <is>
          <t>19.74%～23.03%</t>
        </is>
      </c>
      <c r="E3" s="2" t="inlineStr">
        <is>
          <t>比例</t>
        </is>
      </c>
      <c r="F3" s="2" t="inlineStr"/>
      <c r="G3" s="2" t="n">
        <v>10</v>
      </c>
      <c r="H3" s="2" t="n">
        <v>0.5</v>
      </c>
      <c r="I3" s="2" t="n">
        <v>0.068</v>
      </c>
    </row>
    <row r="4">
      <c r="A4" s="2" t="inlineStr">
        <is>
          <t>生命百分比</t>
        </is>
      </c>
      <c r="B4" s="2" t="n">
        <v>0.329</v>
      </c>
      <c r="C4" s="4" t="n">
        <v>0.1645</v>
      </c>
      <c r="D4" s="2" t="inlineStr">
        <is>
          <t>19.74%～23.03%</t>
        </is>
      </c>
      <c r="E4" s="2" t="inlineStr">
        <is>
          <t>比例</t>
        </is>
      </c>
      <c r="F4" s="2" t="inlineStr"/>
      <c r="G4" s="2" t="n">
        <v>15</v>
      </c>
      <c r="H4" s="2" t="n">
        <v>0.55</v>
      </c>
      <c r="I4" s="2" t="n">
        <v>0.106</v>
      </c>
    </row>
    <row r="5">
      <c r="A5" s="2" t="inlineStr">
        <is>
          <t>攻击</t>
        </is>
      </c>
      <c r="B5" s="2" t="n">
        <v>3701</v>
      </c>
      <c r="C5" s="2" t="n">
        <v>1850.5</v>
      </c>
      <c r="D5" s="2" t="inlineStr">
        <is>
          <t>2,220.6～2,590.7</t>
        </is>
      </c>
      <c r="E5" s="2" t="inlineStr">
        <is>
          <t>数值</t>
        </is>
      </c>
      <c r="F5" s="2" t="inlineStr"/>
      <c r="G5" s="2" t="n">
        <v>20</v>
      </c>
      <c r="H5" s="2" t="n">
        <v>0.6</v>
      </c>
      <c r="I5" s="2" t="n">
        <v>0.16</v>
      </c>
    </row>
    <row r="6">
      <c r="A6" s="2" t="inlineStr">
        <is>
          <t>防御</t>
        </is>
      </c>
      <c r="B6" s="2" t="n">
        <v>2468</v>
      </c>
      <c r="C6" s="2" t="n">
        <v>1234</v>
      </c>
      <c r="D6" s="2" t="inlineStr">
        <is>
          <t>1,480.8～1,727.6</t>
        </is>
      </c>
      <c r="E6" s="2" t="inlineStr">
        <is>
          <t>数值</t>
        </is>
      </c>
      <c r="F6" s="2" t="inlineStr"/>
      <c r="G6" s="2" t="n">
        <v>25</v>
      </c>
      <c r="H6" s="2" t="n">
        <v>0.65</v>
      </c>
      <c r="I6" s="2" t="n">
        <v>0.227</v>
      </c>
    </row>
    <row r="7">
      <c r="A7" s="2" t="inlineStr">
        <is>
          <t>生命</t>
        </is>
      </c>
      <c r="B7" s="2" t="n">
        <v>12338</v>
      </c>
      <c r="C7" s="2" t="n">
        <v>6169</v>
      </c>
      <c r="D7" s="2" t="inlineStr">
        <is>
          <t>7,402.8～8,636.6</t>
        </is>
      </c>
      <c r="E7" s="2" t="inlineStr">
        <is>
          <t>数值</t>
        </is>
      </c>
      <c r="F7" s="2" t="inlineStr"/>
      <c r="G7" s="2" t="n">
        <v>30</v>
      </c>
      <c r="H7" s="2" t="n">
        <v>0.7</v>
      </c>
      <c r="I7" s="2" t="n">
        <v>0.305</v>
      </c>
    </row>
    <row r="8">
      <c r="A8" s="2" t="inlineStr">
        <is>
          <t>暴击等级</t>
        </is>
      </c>
      <c r="B8" s="2" t="n">
        <v>2961</v>
      </c>
      <c r="C8" s="2" t="n">
        <v>1480.5</v>
      </c>
      <c r="D8" s="2" t="inlineStr">
        <is>
          <t>1,776.6～2,072.7</t>
        </is>
      </c>
      <c r="E8" s="2" t="inlineStr">
        <is>
          <t>等级</t>
        </is>
      </c>
      <c r="F8" s="2" t="inlineStr"/>
      <c r="G8" s="2" t="n">
        <v>35</v>
      </c>
      <c r="H8" s="2" t="n">
        <v>0.75</v>
      </c>
      <c r="I8" s="2" t="n">
        <v>0.395</v>
      </c>
    </row>
    <row r="9">
      <c r="A9" s="2" t="inlineStr">
        <is>
          <t>暴击伤害等级</t>
        </is>
      </c>
      <c r="B9" s="2" t="n">
        <v>3619</v>
      </c>
      <c r="C9" s="2" t="n">
        <v>1809.5</v>
      </c>
      <c r="D9" s="2" t="inlineStr">
        <is>
          <t>2,171.4～2,533.3</t>
        </is>
      </c>
      <c r="E9" s="2" t="inlineStr">
        <is>
          <t>等级</t>
        </is>
      </c>
      <c r="F9" s="2" t="inlineStr"/>
      <c r="G9" s="2" t="n">
        <v>40</v>
      </c>
      <c r="H9" s="2" t="n">
        <v>0.8</v>
      </c>
      <c r="I9" s="2" t="n">
        <v>0.495</v>
      </c>
    </row>
    <row r="10">
      <c r="A10" s="2" t="inlineStr">
        <is>
          <t>能量回复等级</t>
        </is>
      </c>
      <c r="B10" s="2" t="n">
        <v>2961</v>
      </c>
      <c r="C10" s="2" t="n">
        <v>1480.5</v>
      </c>
      <c r="D10" s="2" t="inlineStr">
        <is>
          <t>1,776.6～2,072.7</t>
        </is>
      </c>
      <c r="E10" s="2" t="inlineStr">
        <is>
          <t>等级</t>
        </is>
      </c>
      <c r="F10" s="2" t="inlineStr"/>
      <c r="G10" s="2" t="n">
        <v>45</v>
      </c>
      <c r="H10" s="2" t="n">
        <v>0.85</v>
      </c>
      <c r="I10" s="2" t="n">
        <v>0.607</v>
      </c>
    </row>
    <row r="11">
      <c r="A11" s="2" t="inlineStr">
        <is>
          <t>技能冷却等级</t>
        </is>
      </c>
      <c r="B11" s="2" t="n">
        <v>4277</v>
      </c>
      <c r="C11" s="2" t="n">
        <v>2138.5</v>
      </c>
      <c r="D11" s="2" t="inlineStr">
        <is>
          <t>2,566.2～2,993.9</t>
        </is>
      </c>
      <c r="E11" s="2" t="inlineStr">
        <is>
          <t>等级</t>
        </is>
      </c>
      <c r="F11" s="2" t="inlineStr"/>
      <c r="G11" s="2" t="n">
        <v>50</v>
      </c>
      <c r="H11" s="2" t="n">
        <v>0.9</v>
      </c>
      <c r="I11" s="2" t="n">
        <v>0.729</v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n">
        <v>55</v>
      </c>
      <c r="H12" s="2" t="n">
        <v>0.95</v>
      </c>
      <c r="I12" s="2" t="n">
        <v>0.86</v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n">
        <v>60</v>
      </c>
      <c r="H13" s="2" t="n">
        <v>1</v>
      </c>
      <c r="I13" s="2" t="n">
        <v>1</v>
      </c>
    </row>
  </sheetData>
  <autoFilter ref="A1:I13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18" customWidth="1" min="10" max="10"/>
    <col width="18" customWidth="1" min="11" max="11"/>
  </cols>
  <sheetData>
    <row r="1">
      <c r="A1" s="1" t="inlineStr">
        <is>
          <t>副属性</t>
        </is>
      </c>
      <c r="B1" s="1" t="inlineStr">
        <is>
          <t>类别</t>
        </is>
      </c>
      <c r="C1" s="1" t="inlineStr">
        <is>
          <t>品质</t>
        </is>
      </c>
      <c r="D1" s="1" t="inlineStr">
        <is>
          <t>等级</t>
        </is>
      </c>
      <c r="E1" s="1" t="inlineStr">
        <is>
          <t>标准值S</t>
        </is>
      </c>
      <c r="F1" s="1" t="inlineStr">
        <is>
          <t>副属性品质系数</t>
        </is>
      </c>
      <c r="G1" s="1" t="inlineStr">
        <is>
          <t>类别等级倍率</t>
        </is>
      </c>
      <c r="H1" s="1" t="inlineStr">
        <is>
          <t>随机倍率下限</t>
        </is>
      </c>
      <c r="I1" s="1" t="inlineStr">
        <is>
          <t>随机倍率上限</t>
        </is>
      </c>
      <c r="J1" s="1" t="inlineStr">
        <is>
          <t>副属性值下限</t>
        </is>
      </c>
      <c r="K1" s="1" t="inlineStr">
        <is>
          <t>副属性值上限</t>
        </is>
      </c>
    </row>
    <row r="2">
      <c r="A2" s="2" t="inlineStr">
        <is>
          <t>攻击百分比</t>
        </is>
      </c>
      <c r="B2" s="2" t="inlineStr">
        <is>
          <t>百分比</t>
        </is>
      </c>
      <c r="C2" s="2" t="inlineStr">
        <is>
          <t>绿</t>
        </is>
      </c>
      <c r="D2" s="2" t="n">
        <v>5</v>
      </c>
      <c r="E2" s="3">
        <f>INDEX('05_副属性基础'!$C$2:$C$11,MATCH(A2,'05_副属性基础'!$A$2:$A$11,0))</f>
        <v/>
      </c>
      <c r="F2" s="3">
        <f>INDEX('02_品质等级'!$D$2:$D$6,MATCH(C2,'02_品质等级'!$A$2:$A$6,0))</f>
        <v/>
      </c>
      <c r="G2" s="3">
        <f>INDEX('05_副属性基础'!$H$2:$H$13,MATCH(D2,'05_副属性基础'!$G$2:$G$13,0))</f>
        <v/>
      </c>
      <c r="H2" s="3">
        <f>INDEX('02_品质等级'!$G$2:$G$6,MATCH(C2,'02_品质等级'!$A$2:$A$6,0))</f>
        <v/>
      </c>
      <c r="I2" s="3">
        <f>INDEX('02_品质等级'!$H$2:$H$6,MATCH(C2,'02_品质等级'!$A$2:$A$6,0))</f>
        <v/>
      </c>
      <c r="J2" s="3">
        <f>E2*F2*G2*H2</f>
        <v/>
      </c>
      <c r="K2" s="3">
        <f>E2*F2*G2*I2</f>
        <v/>
      </c>
    </row>
    <row r="3">
      <c r="A3" s="2" t="inlineStr">
        <is>
          <t>攻击百分比</t>
        </is>
      </c>
      <c r="B3" s="2" t="inlineStr">
        <is>
          <t>百分比</t>
        </is>
      </c>
      <c r="C3" s="2" t="inlineStr">
        <is>
          <t>绿</t>
        </is>
      </c>
      <c r="D3" s="2" t="n">
        <v>10</v>
      </c>
      <c r="E3" s="3">
        <f>INDEX('05_副属性基础'!$C$2:$C$11,MATCH(A3,'05_副属性基础'!$A$2:$A$11,0))</f>
        <v/>
      </c>
      <c r="F3" s="3">
        <f>INDEX('02_品质等级'!$D$2:$D$6,MATCH(C3,'02_品质等级'!$A$2:$A$6,0))</f>
        <v/>
      </c>
      <c r="G3" s="3">
        <f>INDEX('05_副属性基础'!$H$2:$H$13,MATCH(D3,'05_副属性基础'!$G$2:$G$13,0))</f>
        <v/>
      </c>
      <c r="H3" s="3">
        <f>INDEX('02_品质等级'!$G$2:$G$6,MATCH(C3,'02_品质等级'!$A$2:$A$6,0))</f>
        <v/>
      </c>
      <c r="I3" s="3">
        <f>INDEX('02_品质等级'!$H$2:$H$6,MATCH(C3,'02_品质等级'!$A$2:$A$6,0))</f>
        <v/>
      </c>
      <c r="J3" s="3">
        <f>E3*F3*G3*H3</f>
        <v/>
      </c>
      <c r="K3" s="3">
        <f>E3*F3*G3*I3</f>
        <v/>
      </c>
    </row>
    <row r="4">
      <c r="A4" s="2" t="inlineStr">
        <is>
          <t>攻击百分比</t>
        </is>
      </c>
      <c r="B4" s="2" t="inlineStr">
        <is>
          <t>百分比</t>
        </is>
      </c>
      <c r="C4" s="2" t="inlineStr">
        <is>
          <t>绿</t>
        </is>
      </c>
      <c r="D4" s="2" t="n">
        <v>15</v>
      </c>
      <c r="E4" s="3">
        <f>INDEX('05_副属性基础'!$C$2:$C$11,MATCH(A4,'05_副属性基础'!$A$2:$A$11,0))</f>
        <v/>
      </c>
      <c r="F4" s="3">
        <f>INDEX('02_品质等级'!$D$2:$D$6,MATCH(C4,'02_品质等级'!$A$2:$A$6,0))</f>
        <v/>
      </c>
      <c r="G4" s="3">
        <f>INDEX('05_副属性基础'!$H$2:$H$13,MATCH(D4,'05_副属性基础'!$G$2:$G$13,0))</f>
        <v/>
      </c>
      <c r="H4" s="3">
        <f>INDEX('02_品质等级'!$G$2:$G$6,MATCH(C4,'02_品质等级'!$A$2:$A$6,0))</f>
        <v/>
      </c>
      <c r="I4" s="3">
        <f>INDEX('02_品质等级'!$H$2:$H$6,MATCH(C4,'02_品质等级'!$A$2:$A$6,0))</f>
        <v/>
      </c>
      <c r="J4" s="3">
        <f>E4*F4*G4*H4</f>
        <v/>
      </c>
      <c r="K4" s="3">
        <f>E4*F4*G4*I4</f>
        <v/>
      </c>
    </row>
    <row r="5">
      <c r="A5" s="2" t="inlineStr">
        <is>
          <t>攻击百分比</t>
        </is>
      </c>
      <c r="B5" s="2" t="inlineStr">
        <is>
          <t>百分比</t>
        </is>
      </c>
      <c r="C5" s="2" t="inlineStr">
        <is>
          <t>绿</t>
        </is>
      </c>
      <c r="D5" s="2" t="n">
        <v>20</v>
      </c>
      <c r="E5" s="3">
        <f>INDEX('05_副属性基础'!$C$2:$C$11,MATCH(A5,'05_副属性基础'!$A$2:$A$11,0))</f>
        <v/>
      </c>
      <c r="F5" s="3">
        <f>INDEX('02_品质等级'!$D$2:$D$6,MATCH(C5,'02_品质等级'!$A$2:$A$6,0))</f>
        <v/>
      </c>
      <c r="G5" s="3">
        <f>INDEX('05_副属性基础'!$H$2:$H$13,MATCH(D5,'05_副属性基础'!$G$2:$G$13,0))</f>
        <v/>
      </c>
      <c r="H5" s="3">
        <f>INDEX('02_品质等级'!$G$2:$G$6,MATCH(C5,'02_品质等级'!$A$2:$A$6,0))</f>
        <v/>
      </c>
      <c r="I5" s="3">
        <f>INDEX('02_品质等级'!$H$2:$H$6,MATCH(C5,'02_品质等级'!$A$2:$A$6,0))</f>
        <v/>
      </c>
      <c r="J5" s="3">
        <f>E5*F5*G5*H5</f>
        <v/>
      </c>
      <c r="K5" s="3">
        <f>E5*F5*G5*I5</f>
        <v/>
      </c>
    </row>
    <row r="6">
      <c r="A6" s="2" t="inlineStr">
        <is>
          <t>攻击百分比</t>
        </is>
      </c>
      <c r="B6" s="2" t="inlineStr">
        <is>
          <t>百分比</t>
        </is>
      </c>
      <c r="C6" s="2" t="inlineStr">
        <is>
          <t>绿</t>
        </is>
      </c>
      <c r="D6" s="2" t="n">
        <v>25</v>
      </c>
      <c r="E6" s="3">
        <f>INDEX('05_副属性基础'!$C$2:$C$11,MATCH(A6,'05_副属性基础'!$A$2:$A$11,0))</f>
        <v/>
      </c>
      <c r="F6" s="3">
        <f>INDEX('02_品质等级'!$D$2:$D$6,MATCH(C6,'02_品质等级'!$A$2:$A$6,0))</f>
        <v/>
      </c>
      <c r="G6" s="3">
        <f>INDEX('05_副属性基础'!$H$2:$H$13,MATCH(D6,'05_副属性基础'!$G$2:$G$13,0))</f>
        <v/>
      </c>
      <c r="H6" s="3">
        <f>INDEX('02_品质等级'!$G$2:$G$6,MATCH(C6,'02_品质等级'!$A$2:$A$6,0))</f>
        <v/>
      </c>
      <c r="I6" s="3">
        <f>INDEX('02_品质等级'!$H$2:$H$6,MATCH(C6,'02_品质等级'!$A$2:$A$6,0))</f>
        <v/>
      </c>
      <c r="J6" s="3">
        <f>E6*F6*G6*H6</f>
        <v/>
      </c>
      <c r="K6" s="3">
        <f>E6*F6*G6*I6</f>
        <v/>
      </c>
    </row>
    <row r="7">
      <c r="A7" s="2" t="inlineStr">
        <is>
          <t>攻击百分比</t>
        </is>
      </c>
      <c r="B7" s="2" t="inlineStr">
        <is>
          <t>百分比</t>
        </is>
      </c>
      <c r="C7" s="2" t="inlineStr">
        <is>
          <t>绿</t>
        </is>
      </c>
      <c r="D7" s="2" t="n">
        <v>30</v>
      </c>
      <c r="E7" s="3">
        <f>INDEX('05_副属性基础'!$C$2:$C$11,MATCH(A7,'05_副属性基础'!$A$2:$A$11,0))</f>
        <v/>
      </c>
      <c r="F7" s="3">
        <f>INDEX('02_品质等级'!$D$2:$D$6,MATCH(C7,'02_品质等级'!$A$2:$A$6,0))</f>
        <v/>
      </c>
      <c r="G7" s="3">
        <f>INDEX('05_副属性基础'!$H$2:$H$13,MATCH(D7,'05_副属性基础'!$G$2:$G$13,0))</f>
        <v/>
      </c>
      <c r="H7" s="3">
        <f>INDEX('02_品质等级'!$G$2:$G$6,MATCH(C7,'02_品质等级'!$A$2:$A$6,0))</f>
        <v/>
      </c>
      <c r="I7" s="3">
        <f>INDEX('02_品质等级'!$H$2:$H$6,MATCH(C7,'02_品质等级'!$A$2:$A$6,0))</f>
        <v/>
      </c>
      <c r="J7" s="3">
        <f>E7*F7*G7*H7</f>
        <v/>
      </c>
      <c r="K7" s="3">
        <f>E7*F7*G7*I7</f>
        <v/>
      </c>
    </row>
    <row r="8">
      <c r="A8" s="2" t="inlineStr">
        <is>
          <t>攻击百分比</t>
        </is>
      </c>
      <c r="B8" s="2" t="inlineStr">
        <is>
          <t>百分比</t>
        </is>
      </c>
      <c r="C8" s="2" t="inlineStr">
        <is>
          <t>绿</t>
        </is>
      </c>
      <c r="D8" s="2" t="n">
        <v>35</v>
      </c>
      <c r="E8" s="3">
        <f>INDEX('05_副属性基础'!$C$2:$C$11,MATCH(A8,'05_副属性基础'!$A$2:$A$11,0))</f>
        <v/>
      </c>
      <c r="F8" s="3">
        <f>INDEX('02_品质等级'!$D$2:$D$6,MATCH(C8,'02_品质等级'!$A$2:$A$6,0))</f>
        <v/>
      </c>
      <c r="G8" s="3">
        <f>INDEX('05_副属性基础'!$H$2:$H$13,MATCH(D8,'05_副属性基础'!$G$2:$G$13,0))</f>
        <v/>
      </c>
      <c r="H8" s="3">
        <f>INDEX('02_品质等级'!$G$2:$G$6,MATCH(C8,'02_品质等级'!$A$2:$A$6,0))</f>
        <v/>
      </c>
      <c r="I8" s="3">
        <f>INDEX('02_品质等级'!$H$2:$H$6,MATCH(C8,'02_品质等级'!$A$2:$A$6,0))</f>
        <v/>
      </c>
      <c r="J8" s="3">
        <f>E8*F8*G8*H8</f>
        <v/>
      </c>
      <c r="K8" s="3">
        <f>E8*F8*G8*I8</f>
        <v/>
      </c>
    </row>
    <row r="9">
      <c r="A9" s="2" t="inlineStr">
        <is>
          <t>攻击百分比</t>
        </is>
      </c>
      <c r="B9" s="2" t="inlineStr">
        <is>
          <t>百分比</t>
        </is>
      </c>
      <c r="C9" s="2" t="inlineStr">
        <is>
          <t>绿</t>
        </is>
      </c>
      <c r="D9" s="2" t="n">
        <v>40</v>
      </c>
      <c r="E9" s="3">
        <f>INDEX('05_副属性基础'!$C$2:$C$11,MATCH(A9,'05_副属性基础'!$A$2:$A$11,0))</f>
        <v/>
      </c>
      <c r="F9" s="3">
        <f>INDEX('02_品质等级'!$D$2:$D$6,MATCH(C9,'02_品质等级'!$A$2:$A$6,0))</f>
        <v/>
      </c>
      <c r="G9" s="3">
        <f>INDEX('05_副属性基础'!$H$2:$H$13,MATCH(D9,'05_副属性基础'!$G$2:$G$13,0))</f>
        <v/>
      </c>
      <c r="H9" s="3">
        <f>INDEX('02_品质等级'!$G$2:$G$6,MATCH(C9,'02_品质等级'!$A$2:$A$6,0))</f>
        <v/>
      </c>
      <c r="I9" s="3">
        <f>INDEX('02_品质等级'!$H$2:$H$6,MATCH(C9,'02_品质等级'!$A$2:$A$6,0))</f>
        <v/>
      </c>
      <c r="J9" s="3">
        <f>E9*F9*G9*H9</f>
        <v/>
      </c>
      <c r="K9" s="3">
        <f>E9*F9*G9*I9</f>
        <v/>
      </c>
    </row>
    <row r="10">
      <c r="A10" s="2" t="inlineStr">
        <is>
          <t>攻击百分比</t>
        </is>
      </c>
      <c r="B10" s="2" t="inlineStr">
        <is>
          <t>百分比</t>
        </is>
      </c>
      <c r="C10" s="2" t="inlineStr">
        <is>
          <t>绿</t>
        </is>
      </c>
      <c r="D10" s="2" t="n">
        <v>45</v>
      </c>
      <c r="E10" s="3">
        <f>INDEX('05_副属性基础'!$C$2:$C$11,MATCH(A10,'05_副属性基础'!$A$2:$A$11,0))</f>
        <v/>
      </c>
      <c r="F10" s="3">
        <f>INDEX('02_品质等级'!$D$2:$D$6,MATCH(C10,'02_品质等级'!$A$2:$A$6,0))</f>
        <v/>
      </c>
      <c r="G10" s="3">
        <f>INDEX('05_副属性基础'!$H$2:$H$13,MATCH(D10,'05_副属性基础'!$G$2:$G$13,0))</f>
        <v/>
      </c>
      <c r="H10" s="3">
        <f>INDEX('02_品质等级'!$G$2:$G$6,MATCH(C10,'02_品质等级'!$A$2:$A$6,0))</f>
        <v/>
      </c>
      <c r="I10" s="3">
        <f>INDEX('02_品质等级'!$H$2:$H$6,MATCH(C10,'02_品质等级'!$A$2:$A$6,0))</f>
        <v/>
      </c>
      <c r="J10" s="3">
        <f>E10*F10*G10*H10</f>
        <v/>
      </c>
      <c r="K10" s="3">
        <f>E10*F10*G10*I10</f>
        <v/>
      </c>
    </row>
    <row r="11">
      <c r="A11" s="2" t="inlineStr">
        <is>
          <t>攻击百分比</t>
        </is>
      </c>
      <c r="B11" s="2" t="inlineStr">
        <is>
          <t>百分比</t>
        </is>
      </c>
      <c r="C11" s="2" t="inlineStr">
        <is>
          <t>绿</t>
        </is>
      </c>
      <c r="D11" s="2" t="n">
        <v>50</v>
      </c>
      <c r="E11" s="3">
        <f>INDEX('05_副属性基础'!$C$2:$C$11,MATCH(A11,'05_副属性基础'!$A$2:$A$11,0))</f>
        <v/>
      </c>
      <c r="F11" s="3">
        <f>INDEX('02_品质等级'!$D$2:$D$6,MATCH(C11,'02_品质等级'!$A$2:$A$6,0))</f>
        <v/>
      </c>
      <c r="G11" s="3">
        <f>INDEX('05_副属性基础'!$H$2:$H$13,MATCH(D11,'05_副属性基础'!$G$2:$G$13,0))</f>
        <v/>
      </c>
      <c r="H11" s="3">
        <f>INDEX('02_品质等级'!$G$2:$G$6,MATCH(C11,'02_品质等级'!$A$2:$A$6,0))</f>
        <v/>
      </c>
      <c r="I11" s="3">
        <f>INDEX('02_品质等级'!$H$2:$H$6,MATCH(C11,'02_品质等级'!$A$2:$A$6,0))</f>
        <v/>
      </c>
      <c r="J11" s="3">
        <f>E11*F11*G11*H11</f>
        <v/>
      </c>
      <c r="K11" s="3">
        <f>E11*F11*G11*I11</f>
        <v/>
      </c>
    </row>
    <row r="12">
      <c r="A12" s="2" t="inlineStr">
        <is>
          <t>攻击百分比</t>
        </is>
      </c>
      <c r="B12" s="2" t="inlineStr">
        <is>
          <t>百分比</t>
        </is>
      </c>
      <c r="C12" s="2" t="inlineStr">
        <is>
          <t>绿</t>
        </is>
      </c>
      <c r="D12" s="2" t="n">
        <v>55</v>
      </c>
      <c r="E12" s="3">
        <f>INDEX('05_副属性基础'!$C$2:$C$11,MATCH(A12,'05_副属性基础'!$A$2:$A$11,0))</f>
        <v/>
      </c>
      <c r="F12" s="3">
        <f>INDEX('02_品质等级'!$D$2:$D$6,MATCH(C12,'02_品质等级'!$A$2:$A$6,0))</f>
        <v/>
      </c>
      <c r="G12" s="3">
        <f>INDEX('05_副属性基础'!$H$2:$H$13,MATCH(D12,'05_副属性基础'!$G$2:$G$13,0))</f>
        <v/>
      </c>
      <c r="H12" s="3">
        <f>INDEX('02_品质等级'!$G$2:$G$6,MATCH(C12,'02_品质等级'!$A$2:$A$6,0))</f>
        <v/>
      </c>
      <c r="I12" s="3">
        <f>INDEX('02_品质等级'!$H$2:$H$6,MATCH(C12,'02_品质等级'!$A$2:$A$6,0))</f>
        <v/>
      </c>
      <c r="J12" s="3">
        <f>E12*F12*G12*H12</f>
        <v/>
      </c>
      <c r="K12" s="3">
        <f>E12*F12*G12*I12</f>
        <v/>
      </c>
    </row>
    <row r="13">
      <c r="A13" s="2" t="inlineStr">
        <is>
          <t>攻击百分比</t>
        </is>
      </c>
      <c r="B13" s="2" t="inlineStr">
        <is>
          <t>百分比</t>
        </is>
      </c>
      <c r="C13" s="2" t="inlineStr">
        <is>
          <t>绿</t>
        </is>
      </c>
      <c r="D13" s="2" t="n">
        <v>60</v>
      </c>
      <c r="E13" s="3">
        <f>INDEX('05_副属性基础'!$C$2:$C$11,MATCH(A13,'05_副属性基础'!$A$2:$A$11,0))</f>
        <v/>
      </c>
      <c r="F13" s="3">
        <f>INDEX('02_品质等级'!$D$2:$D$6,MATCH(C13,'02_品质等级'!$A$2:$A$6,0))</f>
        <v/>
      </c>
      <c r="G13" s="3">
        <f>INDEX('05_副属性基础'!$H$2:$H$13,MATCH(D13,'05_副属性基础'!$G$2:$G$13,0))</f>
        <v/>
      </c>
      <c r="H13" s="3">
        <f>INDEX('02_品质等级'!$G$2:$G$6,MATCH(C13,'02_品质等级'!$A$2:$A$6,0))</f>
        <v/>
      </c>
      <c r="I13" s="3">
        <f>INDEX('02_品质等级'!$H$2:$H$6,MATCH(C13,'02_品质等级'!$A$2:$A$6,0))</f>
        <v/>
      </c>
      <c r="J13" s="3">
        <f>E13*F13*G13*H13</f>
        <v/>
      </c>
      <c r="K13" s="3">
        <f>E13*F13*G13*I13</f>
        <v/>
      </c>
    </row>
    <row r="14">
      <c r="A14" s="2" t="inlineStr">
        <is>
          <t>攻击百分比</t>
        </is>
      </c>
      <c r="B14" s="2" t="inlineStr">
        <is>
          <t>百分比</t>
        </is>
      </c>
      <c r="C14" s="2" t="inlineStr">
        <is>
          <t>蓝</t>
        </is>
      </c>
      <c r="D14" s="2" t="n">
        <v>5</v>
      </c>
      <c r="E14" s="3">
        <f>INDEX('05_副属性基础'!$C$2:$C$11,MATCH(A14,'05_副属性基础'!$A$2:$A$11,0))</f>
        <v/>
      </c>
      <c r="F14" s="3">
        <f>INDEX('02_品质等级'!$D$2:$D$6,MATCH(C14,'02_品质等级'!$A$2:$A$6,0))</f>
        <v/>
      </c>
      <c r="G14" s="3">
        <f>INDEX('05_副属性基础'!$H$2:$H$13,MATCH(D14,'05_副属性基础'!$G$2:$G$13,0))</f>
        <v/>
      </c>
      <c r="H14" s="3">
        <f>INDEX('02_品质等级'!$G$2:$G$6,MATCH(C14,'02_品质等级'!$A$2:$A$6,0))</f>
        <v/>
      </c>
      <c r="I14" s="3">
        <f>INDEX('02_品质等级'!$H$2:$H$6,MATCH(C14,'02_品质等级'!$A$2:$A$6,0))</f>
        <v/>
      </c>
      <c r="J14" s="3">
        <f>E14*F14*G14*H14</f>
        <v/>
      </c>
      <c r="K14" s="3">
        <f>E14*F14*G14*I14</f>
        <v/>
      </c>
    </row>
    <row r="15">
      <c r="A15" s="2" t="inlineStr">
        <is>
          <t>攻击百分比</t>
        </is>
      </c>
      <c r="B15" s="2" t="inlineStr">
        <is>
          <t>百分比</t>
        </is>
      </c>
      <c r="C15" s="2" t="inlineStr">
        <is>
          <t>蓝</t>
        </is>
      </c>
      <c r="D15" s="2" t="n">
        <v>10</v>
      </c>
      <c r="E15" s="3">
        <f>INDEX('05_副属性基础'!$C$2:$C$11,MATCH(A15,'05_副属性基础'!$A$2:$A$11,0))</f>
        <v/>
      </c>
      <c r="F15" s="3">
        <f>INDEX('02_品质等级'!$D$2:$D$6,MATCH(C15,'02_品质等级'!$A$2:$A$6,0))</f>
        <v/>
      </c>
      <c r="G15" s="3">
        <f>INDEX('05_副属性基础'!$H$2:$H$13,MATCH(D15,'05_副属性基础'!$G$2:$G$13,0))</f>
        <v/>
      </c>
      <c r="H15" s="3">
        <f>INDEX('02_品质等级'!$G$2:$G$6,MATCH(C15,'02_品质等级'!$A$2:$A$6,0))</f>
        <v/>
      </c>
      <c r="I15" s="3">
        <f>INDEX('02_品质等级'!$H$2:$H$6,MATCH(C15,'02_品质等级'!$A$2:$A$6,0))</f>
        <v/>
      </c>
      <c r="J15" s="3">
        <f>E15*F15*G15*H15</f>
        <v/>
      </c>
      <c r="K15" s="3">
        <f>E15*F15*G15*I15</f>
        <v/>
      </c>
    </row>
    <row r="16">
      <c r="A16" s="2" t="inlineStr">
        <is>
          <t>攻击百分比</t>
        </is>
      </c>
      <c r="B16" s="2" t="inlineStr">
        <is>
          <t>百分比</t>
        </is>
      </c>
      <c r="C16" s="2" t="inlineStr">
        <is>
          <t>蓝</t>
        </is>
      </c>
      <c r="D16" s="2" t="n">
        <v>15</v>
      </c>
      <c r="E16" s="3">
        <f>INDEX('05_副属性基础'!$C$2:$C$11,MATCH(A16,'05_副属性基础'!$A$2:$A$11,0))</f>
        <v/>
      </c>
      <c r="F16" s="3">
        <f>INDEX('02_品质等级'!$D$2:$D$6,MATCH(C16,'02_品质等级'!$A$2:$A$6,0))</f>
        <v/>
      </c>
      <c r="G16" s="3">
        <f>INDEX('05_副属性基础'!$H$2:$H$13,MATCH(D16,'05_副属性基础'!$G$2:$G$13,0))</f>
        <v/>
      </c>
      <c r="H16" s="3">
        <f>INDEX('02_品质等级'!$G$2:$G$6,MATCH(C16,'02_品质等级'!$A$2:$A$6,0))</f>
        <v/>
      </c>
      <c r="I16" s="3">
        <f>INDEX('02_品质等级'!$H$2:$H$6,MATCH(C16,'02_品质等级'!$A$2:$A$6,0))</f>
        <v/>
      </c>
      <c r="J16" s="3">
        <f>E16*F16*G16*H16</f>
        <v/>
      </c>
      <c r="K16" s="3">
        <f>E16*F16*G16*I16</f>
        <v/>
      </c>
    </row>
    <row r="17">
      <c r="A17" s="2" t="inlineStr">
        <is>
          <t>攻击百分比</t>
        </is>
      </c>
      <c r="B17" s="2" t="inlineStr">
        <is>
          <t>百分比</t>
        </is>
      </c>
      <c r="C17" s="2" t="inlineStr">
        <is>
          <t>蓝</t>
        </is>
      </c>
      <c r="D17" s="2" t="n">
        <v>20</v>
      </c>
      <c r="E17" s="3">
        <f>INDEX('05_副属性基础'!$C$2:$C$11,MATCH(A17,'05_副属性基础'!$A$2:$A$11,0))</f>
        <v/>
      </c>
      <c r="F17" s="3">
        <f>INDEX('02_品质等级'!$D$2:$D$6,MATCH(C17,'02_品质等级'!$A$2:$A$6,0))</f>
        <v/>
      </c>
      <c r="G17" s="3">
        <f>INDEX('05_副属性基础'!$H$2:$H$13,MATCH(D17,'05_副属性基础'!$G$2:$G$13,0))</f>
        <v/>
      </c>
      <c r="H17" s="3">
        <f>INDEX('02_品质等级'!$G$2:$G$6,MATCH(C17,'02_品质等级'!$A$2:$A$6,0))</f>
        <v/>
      </c>
      <c r="I17" s="3">
        <f>INDEX('02_品质等级'!$H$2:$H$6,MATCH(C17,'02_品质等级'!$A$2:$A$6,0))</f>
        <v/>
      </c>
      <c r="J17" s="3">
        <f>E17*F17*G17*H17</f>
        <v/>
      </c>
      <c r="K17" s="3">
        <f>E17*F17*G17*I17</f>
        <v/>
      </c>
    </row>
    <row r="18">
      <c r="A18" s="2" t="inlineStr">
        <is>
          <t>攻击百分比</t>
        </is>
      </c>
      <c r="B18" s="2" t="inlineStr">
        <is>
          <t>百分比</t>
        </is>
      </c>
      <c r="C18" s="2" t="inlineStr">
        <is>
          <t>蓝</t>
        </is>
      </c>
      <c r="D18" s="2" t="n">
        <v>25</v>
      </c>
      <c r="E18" s="3">
        <f>INDEX('05_副属性基础'!$C$2:$C$11,MATCH(A18,'05_副属性基础'!$A$2:$A$11,0))</f>
        <v/>
      </c>
      <c r="F18" s="3">
        <f>INDEX('02_品质等级'!$D$2:$D$6,MATCH(C18,'02_品质等级'!$A$2:$A$6,0))</f>
        <v/>
      </c>
      <c r="G18" s="3">
        <f>INDEX('05_副属性基础'!$H$2:$H$13,MATCH(D18,'05_副属性基础'!$G$2:$G$13,0))</f>
        <v/>
      </c>
      <c r="H18" s="3">
        <f>INDEX('02_品质等级'!$G$2:$G$6,MATCH(C18,'02_品质等级'!$A$2:$A$6,0))</f>
        <v/>
      </c>
      <c r="I18" s="3">
        <f>INDEX('02_品质等级'!$H$2:$H$6,MATCH(C18,'02_品质等级'!$A$2:$A$6,0))</f>
        <v/>
      </c>
      <c r="J18" s="3">
        <f>E18*F18*G18*H18</f>
        <v/>
      </c>
      <c r="K18" s="3">
        <f>E18*F18*G18*I18</f>
        <v/>
      </c>
    </row>
    <row r="19">
      <c r="A19" s="2" t="inlineStr">
        <is>
          <t>攻击百分比</t>
        </is>
      </c>
      <c r="B19" s="2" t="inlineStr">
        <is>
          <t>百分比</t>
        </is>
      </c>
      <c r="C19" s="2" t="inlineStr">
        <is>
          <t>蓝</t>
        </is>
      </c>
      <c r="D19" s="2" t="n">
        <v>30</v>
      </c>
      <c r="E19" s="3">
        <f>INDEX('05_副属性基础'!$C$2:$C$11,MATCH(A19,'05_副属性基础'!$A$2:$A$11,0))</f>
        <v/>
      </c>
      <c r="F19" s="3">
        <f>INDEX('02_品质等级'!$D$2:$D$6,MATCH(C19,'02_品质等级'!$A$2:$A$6,0))</f>
        <v/>
      </c>
      <c r="G19" s="3">
        <f>INDEX('05_副属性基础'!$H$2:$H$13,MATCH(D19,'05_副属性基础'!$G$2:$G$13,0))</f>
        <v/>
      </c>
      <c r="H19" s="3">
        <f>INDEX('02_品质等级'!$G$2:$G$6,MATCH(C19,'02_品质等级'!$A$2:$A$6,0))</f>
        <v/>
      </c>
      <c r="I19" s="3">
        <f>INDEX('02_品质等级'!$H$2:$H$6,MATCH(C19,'02_品质等级'!$A$2:$A$6,0))</f>
        <v/>
      </c>
      <c r="J19" s="3">
        <f>E19*F19*G19*H19</f>
        <v/>
      </c>
      <c r="K19" s="3">
        <f>E19*F19*G19*I19</f>
        <v/>
      </c>
    </row>
    <row r="20">
      <c r="A20" s="2" t="inlineStr">
        <is>
          <t>攻击百分比</t>
        </is>
      </c>
      <c r="B20" s="2" t="inlineStr">
        <is>
          <t>百分比</t>
        </is>
      </c>
      <c r="C20" s="2" t="inlineStr">
        <is>
          <t>蓝</t>
        </is>
      </c>
      <c r="D20" s="2" t="n">
        <v>35</v>
      </c>
      <c r="E20" s="3">
        <f>INDEX('05_副属性基础'!$C$2:$C$11,MATCH(A20,'05_副属性基础'!$A$2:$A$11,0))</f>
        <v/>
      </c>
      <c r="F20" s="3">
        <f>INDEX('02_品质等级'!$D$2:$D$6,MATCH(C20,'02_品质等级'!$A$2:$A$6,0))</f>
        <v/>
      </c>
      <c r="G20" s="3">
        <f>INDEX('05_副属性基础'!$H$2:$H$13,MATCH(D20,'05_副属性基础'!$G$2:$G$13,0))</f>
        <v/>
      </c>
      <c r="H20" s="3">
        <f>INDEX('02_品质等级'!$G$2:$G$6,MATCH(C20,'02_品质等级'!$A$2:$A$6,0))</f>
        <v/>
      </c>
      <c r="I20" s="3">
        <f>INDEX('02_品质等级'!$H$2:$H$6,MATCH(C20,'02_品质等级'!$A$2:$A$6,0))</f>
        <v/>
      </c>
      <c r="J20" s="3">
        <f>E20*F20*G20*H20</f>
        <v/>
      </c>
      <c r="K20" s="3">
        <f>E20*F20*G20*I20</f>
        <v/>
      </c>
    </row>
    <row r="21">
      <c r="A21" s="2" t="inlineStr">
        <is>
          <t>攻击百分比</t>
        </is>
      </c>
      <c r="B21" s="2" t="inlineStr">
        <is>
          <t>百分比</t>
        </is>
      </c>
      <c r="C21" s="2" t="inlineStr">
        <is>
          <t>蓝</t>
        </is>
      </c>
      <c r="D21" s="2" t="n">
        <v>40</v>
      </c>
      <c r="E21" s="3">
        <f>INDEX('05_副属性基础'!$C$2:$C$11,MATCH(A21,'05_副属性基础'!$A$2:$A$11,0))</f>
        <v/>
      </c>
      <c r="F21" s="3">
        <f>INDEX('02_品质等级'!$D$2:$D$6,MATCH(C21,'02_品质等级'!$A$2:$A$6,0))</f>
        <v/>
      </c>
      <c r="G21" s="3">
        <f>INDEX('05_副属性基础'!$H$2:$H$13,MATCH(D21,'05_副属性基础'!$G$2:$G$13,0))</f>
        <v/>
      </c>
      <c r="H21" s="3">
        <f>INDEX('02_品质等级'!$G$2:$G$6,MATCH(C21,'02_品质等级'!$A$2:$A$6,0))</f>
        <v/>
      </c>
      <c r="I21" s="3">
        <f>INDEX('02_品质等级'!$H$2:$H$6,MATCH(C21,'02_品质等级'!$A$2:$A$6,0))</f>
        <v/>
      </c>
      <c r="J21" s="3">
        <f>E21*F21*G21*H21</f>
        <v/>
      </c>
      <c r="K21" s="3">
        <f>E21*F21*G21*I21</f>
        <v/>
      </c>
    </row>
    <row r="22">
      <c r="A22" s="2" t="inlineStr">
        <is>
          <t>攻击百分比</t>
        </is>
      </c>
      <c r="B22" s="2" t="inlineStr">
        <is>
          <t>百分比</t>
        </is>
      </c>
      <c r="C22" s="2" t="inlineStr">
        <is>
          <t>蓝</t>
        </is>
      </c>
      <c r="D22" s="2" t="n">
        <v>45</v>
      </c>
      <c r="E22" s="3">
        <f>INDEX('05_副属性基础'!$C$2:$C$11,MATCH(A22,'05_副属性基础'!$A$2:$A$11,0))</f>
        <v/>
      </c>
      <c r="F22" s="3">
        <f>INDEX('02_品质等级'!$D$2:$D$6,MATCH(C22,'02_品质等级'!$A$2:$A$6,0))</f>
        <v/>
      </c>
      <c r="G22" s="3">
        <f>INDEX('05_副属性基础'!$H$2:$H$13,MATCH(D22,'05_副属性基础'!$G$2:$G$13,0))</f>
        <v/>
      </c>
      <c r="H22" s="3">
        <f>INDEX('02_品质等级'!$G$2:$G$6,MATCH(C22,'02_品质等级'!$A$2:$A$6,0))</f>
        <v/>
      </c>
      <c r="I22" s="3">
        <f>INDEX('02_品质等级'!$H$2:$H$6,MATCH(C22,'02_品质等级'!$A$2:$A$6,0))</f>
        <v/>
      </c>
      <c r="J22" s="3">
        <f>E22*F22*G22*H22</f>
        <v/>
      </c>
      <c r="K22" s="3">
        <f>E22*F22*G22*I22</f>
        <v/>
      </c>
    </row>
    <row r="23">
      <c r="A23" s="2" t="inlineStr">
        <is>
          <t>攻击百分比</t>
        </is>
      </c>
      <c r="B23" s="2" t="inlineStr">
        <is>
          <t>百分比</t>
        </is>
      </c>
      <c r="C23" s="2" t="inlineStr">
        <is>
          <t>蓝</t>
        </is>
      </c>
      <c r="D23" s="2" t="n">
        <v>50</v>
      </c>
      <c r="E23" s="3">
        <f>INDEX('05_副属性基础'!$C$2:$C$11,MATCH(A23,'05_副属性基础'!$A$2:$A$11,0))</f>
        <v/>
      </c>
      <c r="F23" s="3">
        <f>INDEX('02_品质等级'!$D$2:$D$6,MATCH(C23,'02_品质等级'!$A$2:$A$6,0))</f>
        <v/>
      </c>
      <c r="G23" s="3">
        <f>INDEX('05_副属性基础'!$H$2:$H$13,MATCH(D23,'05_副属性基础'!$G$2:$G$13,0))</f>
        <v/>
      </c>
      <c r="H23" s="3">
        <f>INDEX('02_品质等级'!$G$2:$G$6,MATCH(C23,'02_品质等级'!$A$2:$A$6,0))</f>
        <v/>
      </c>
      <c r="I23" s="3">
        <f>INDEX('02_品质等级'!$H$2:$H$6,MATCH(C23,'02_品质等级'!$A$2:$A$6,0))</f>
        <v/>
      </c>
      <c r="J23" s="3">
        <f>E23*F23*G23*H23</f>
        <v/>
      </c>
      <c r="K23" s="3">
        <f>E23*F23*G23*I23</f>
        <v/>
      </c>
    </row>
    <row r="24">
      <c r="A24" s="2" t="inlineStr">
        <is>
          <t>攻击百分比</t>
        </is>
      </c>
      <c r="B24" s="2" t="inlineStr">
        <is>
          <t>百分比</t>
        </is>
      </c>
      <c r="C24" s="2" t="inlineStr">
        <is>
          <t>蓝</t>
        </is>
      </c>
      <c r="D24" s="2" t="n">
        <v>55</v>
      </c>
      <c r="E24" s="3">
        <f>INDEX('05_副属性基础'!$C$2:$C$11,MATCH(A24,'05_副属性基础'!$A$2:$A$11,0))</f>
        <v/>
      </c>
      <c r="F24" s="3">
        <f>INDEX('02_品质等级'!$D$2:$D$6,MATCH(C24,'02_品质等级'!$A$2:$A$6,0))</f>
        <v/>
      </c>
      <c r="G24" s="3">
        <f>INDEX('05_副属性基础'!$H$2:$H$13,MATCH(D24,'05_副属性基础'!$G$2:$G$13,0))</f>
        <v/>
      </c>
      <c r="H24" s="3">
        <f>INDEX('02_品质等级'!$G$2:$G$6,MATCH(C24,'02_品质等级'!$A$2:$A$6,0))</f>
        <v/>
      </c>
      <c r="I24" s="3">
        <f>INDEX('02_品质等级'!$H$2:$H$6,MATCH(C24,'02_品质等级'!$A$2:$A$6,0))</f>
        <v/>
      </c>
      <c r="J24" s="3">
        <f>E24*F24*G24*H24</f>
        <v/>
      </c>
      <c r="K24" s="3">
        <f>E24*F24*G24*I24</f>
        <v/>
      </c>
    </row>
    <row r="25">
      <c r="A25" s="2" t="inlineStr">
        <is>
          <t>攻击百分比</t>
        </is>
      </c>
      <c r="B25" s="2" t="inlineStr">
        <is>
          <t>百分比</t>
        </is>
      </c>
      <c r="C25" s="2" t="inlineStr">
        <is>
          <t>蓝</t>
        </is>
      </c>
      <c r="D25" s="2" t="n">
        <v>60</v>
      </c>
      <c r="E25" s="3">
        <f>INDEX('05_副属性基础'!$C$2:$C$11,MATCH(A25,'05_副属性基础'!$A$2:$A$11,0))</f>
        <v/>
      </c>
      <c r="F25" s="3">
        <f>INDEX('02_品质等级'!$D$2:$D$6,MATCH(C25,'02_品质等级'!$A$2:$A$6,0))</f>
        <v/>
      </c>
      <c r="G25" s="3">
        <f>INDEX('05_副属性基础'!$H$2:$H$13,MATCH(D25,'05_副属性基础'!$G$2:$G$13,0))</f>
        <v/>
      </c>
      <c r="H25" s="3">
        <f>INDEX('02_品质等级'!$G$2:$G$6,MATCH(C25,'02_品质等级'!$A$2:$A$6,0))</f>
        <v/>
      </c>
      <c r="I25" s="3">
        <f>INDEX('02_品质等级'!$H$2:$H$6,MATCH(C25,'02_品质等级'!$A$2:$A$6,0))</f>
        <v/>
      </c>
      <c r="J25" s="3">
        <f>E25*F25*G25*H25</f>
        <v/>
      </c>
      <c r="K25" s="3">
        <f>E25*F25*G25*I25</f>
        <v/>
      </c>
    </row>
    <row r="26">
      <c r="A26" s="2" t="inlineStr">
        <is>
          <t>攻击百分比</t>
        </is>
      </c>
      <c r="B26" s="2" t="inlineStr">
        <is>
          <t>百分比</t>
        </is>
      </c>
      <c r="C26" s="2" t="inlineStr">
        <is>
          <t>紫</t>
        </is>
      </c>
      <c r="D26" s="2" t="n">
        <v>5</v>
      </c>
      <c r="E26" s="3">
        <f>INDEX('05_副属性基础'!$C$2:$C$11,MATCH(A26,'05_副属性基础'!$A$2:$A$11,0))</f>
        <v/>
      </c>
      <c r="F26" s="3">
        <f>INDEX('02_品质等级'!$D$2:$D$6,MATCH(C26,'02_品质等级'!$A$2:$A$6,0))</f>
        <v/>
      </c>
      <c r="G26" s="3">
        <f>INDEX('05_副属性基础'!$H$2:$H$13,MATCH(D26,'05_副属性基础'!$G$2:$G$13,0))</f>
        <v/>
      </c>
      <c r="H26" s="3">
        <f>INDEX('02_品质等级'!$G$2:$G$6,MATCH(C26,'02_品质等级'!$A$2:$A$6,0))</f>
        <v/>
      </c>
      <c r="I26" s="3">
        <f>INDEX('02_品质等级'!$H$2:$H$6,MATCH(C26,'02_品质等级'!$A$2:$A$6,0))</f>
        <v/>
      </c>
      <c r="J26" s="3">
        <f>E26*F26*G26*H26</f>
        <v/>
      </c>
      <c r="K26" s="3">
        <f>E26*F26*G26*I26</f>
        <v/>
      </c>
    </row>
    <row r="27">
      <c r="A27" s="2" t="inlineStr">
        <is>
          <t>攻击百分比</t>
        </is>
      </c>
      <c r="B27" s="2" t="inlineStr">
        <is>
          <t>百分比</t>
        </is>
      </c>
      <c r="C27" s="2" t="inlineStr">
        <is>
          <t>紫</t>
        </is>
      </c>
      <c r="D27" s="2" t="n">
        <v>10</v>
      </c>
      <c r="E27" s="3">
        <f>INDEX('05_副属性基础'!$C$2:$C$11,MATCH(A27,'05_副属性基础'!$A$2:$A$11,0))</f>
        <v/>
      </c>
      <c r="F27" s="3">
        <f>INDEX('02_品质等级'!$D$2:$D$6,MATCH(C27,'02_品质等级'!$A$2:$A$6,0))</f>
        <v/>
      </c>
      <c r="G27" s="3">
        <f>INDEX('05_副属性基础'!$H$2:$H$13,MATCH(D27,'05_副属性基础'!$G$2:$G$13,0))</f>
        <v/>
      </c>
      <c r="H27" s="3">
        <f>INDEX('02_品质等级'!$G$2:$G$6,MATCH(C27,'02_品质等级'!$A$2:$A$6,0))</f>
        <v/>
      </c>
      <c r="I27" s="3">
        <f>INDEX('02_品质等级'!$H$2:$H$6,MATCH(C27,'02_品质等级'!$A$2:$A$6,0))</f>
        <v/>
      </c>
      <c r="J27" s="3">
        <f>E27*F27*G27*H27</f>
        <v/>
      </c>
      <c r="K27" s="3">
        <f>E27*F27*G27*I27</f>
        <v/>
      </c>
    </row>
    <row r="28">
      <c r="A28" s="2" t="inlineStr">
        <is>
          <t>攻击百分比</t>
        </is>
      </c>
      <c r="B28" s="2" t="inlineStr">
        <is>
          <t>百分比</t>
        </is>
      </c>
      <c r="C28" s="2" t="inlineStr">
        <is>
          <t>紫</t>
        </is>
      </c>
      <c r="D28" s="2" t="n">
        <v>15</v>
      </c>
      <c r="E28" s="3">
        <f>INDEX('05_副属性基础'!$C$2:$C$11,MATCH(A28,'05_副属性基础'!$A$2:$A$11,0))</f>
        <v/>
      </c>
      <c r="F28" s="3">
        <f>INDEX('02_品质等级'!$D$2:$D$6,MATCH(C28,'02_品质等级'!$A$2:$A$6,0))</f>
        <v/>
      </c>
      <c r="G28" s="3">
        <f>INDEX('05_副属性基础'!$H$2:$H$13,MATCH(D28,'05_副属性基础'!$G$2:$G$13,0))</f>
        <v/>
      </c>
      <c r="H28" s="3">
        <f>INDEX('02_品质等级'!$G$2:$G$6,MATCH(C28,'02_品质等级'!$A$2:$A$6,0))</f>
        <v/>
      </c>
      <c r="I28" s="3">
        <f>INDEX('02_品质等级'!$H$2:$H$6,MATCH(C28,'02_品质等级'!$A$2:$A$6,0))</f>
        <v/>
      </c>
      <c r="J28" s="3">
        <f>E28*F28*G28*H28</f>
        <v/>
      </c>
      <c r="K28" s="3">
        <f>E28*F28*G28*I28</f>
        <v/>
      </c>
    </row>
    <row r="29">
      <c r="A29" s="2" t="inlineStr">
        <is>
          <t>攻击百分比</t>
        </is>
      </c>
      <c r="B29" s="2" t="inlineStr">
        <is>
          <t>百分比</t>
        </is>
      </c>
      <c r="C29" s="2" t="inlineStr">
        <is>
          <t>紫</t>
        </is>
      </c>
      <c r="D29" s="2" t="n">
        <v>20</v>
      </c>
      <c r="E29" s="3">
        <f>INDEX('05_副属性基础'!$C$2:$C$11,MATCH(A29,'05_副属性基础'!$A$2:$A$11,0))</f>
        <v/>
      </c>
      <c r="F29" s="3">
        <f>INDEX('02_品质等级'!$D$2:$D$6,MATCH(C29,'02_品质等级'!$A$2:$A$6,0))</f>
        <v/>
      </c>
      <c r="G29" s="3">
        <f>INDEX('05_副属性基础'!$H$2:$H$13,MATCH(D29,'05_副属性基础'!$G$2:$G$13,0))</f>
        <v/>
      </c>
      <c r="H29" s="3">
        <f>INDEX('02_品质等级'!$G$2:$G$6,MATCH(C29,'02_品质等级'!$A$2:$A$6,0))</f>
        <v/>
      </c>
      <c r="I29" s="3">
        <f>INDEX('02_品质等级'!$H$2:$H$6,MATCH(C29,'02_品质等级'!$A$2:$A$6,0))</f>
        <v/>
      </c>
      <c r="J29" s="3">
        <f>E29*F29*G29*H29</f>
        <v/>
      </c>
      <c r="K29" s="3">
        <f>E29*F29*G29*I29</f>
        <v/>
      </c>
    </row>
    <row r="30">
      <c r="A30" s="2" t="inlineStr">
        <is>
          <t>攻击百分比</t>
        </is>
      </c>
      <c r="B30" s="2" t="inlineStr">
        <is>
          <t>百分比</t>
        </is>
      </c>
      <c r="C30" s="2" t="inlineStr">
        <is>
          <t>紫</t>
        </is>
      </c>
      <c r="D30" s="2" t="n">
        <v>25</v>
      </c>
      <c r="E30" s="3">
        <f>INDEX('05_副属性基础'!$C$2:$C$11,MATCH(A30,'05_副属性基础'!$A$2:$A$11,0))</f>
        <v/>
      </c>
      <c r="F30" s="3">
        <f>INDEX('02_品质等级'!$D$2:$D$6,MATCH(C30,'02_品质等级'!$A$2:$A$6,0))</f>
        <v/>
      </c>
      <c r="G30" s="3">
        <f>INDEX('05_副属性基础'!$H$2:$H$13,MATCH(D30,'05_副属性基础'!$G$2:$G$13,0))</f>
        <v/>
      </c>
      <c r="H30" s="3">
        <f>INDEX('02_品质等级'!$G$2:$G$6,MATCH(C30,'02_品质等级'!$A$2:$A$6,0))</f>
        <v/>
      </c>
      <c r="I30" s="3">
        <f>INDEX('02_品质等级'!$H$2:$H$6,MATCH(C30,'02_品质等级'!$A$2:$A$6,0))</f>
        <v/>
      </c>
      <c r="J30" s="3">
        <f>E30*F30*G30*H30</f>
        <v/>
      </c>
      <c r="K30" s="3">
        <f>E30*F30*G30*I30</f>
        <v/>
      </c>
    </row>
    <row r="31">
      <c r="A31" s="2" t="inlineStr">
        <is>
          <t>攻击百分比</t>
        </is>
      </c>
      <c r="B31" s="2" t="inlineStr">
        <is>
          <t>百分比</t>
        </is>
      </c>
      <c r="C31" s="2" t="inlineStr">
        <is>
          <t>紫</t>
        </is>
      </c>
      <c r="D31" s="2" t="n">
        <v>30</v>
      </c>
      <c r="E31" s="3">
        <f>INDEX('05_副属性基础'!$C$2:$C$11,MATCH(A31,'05_副属性基础'!$A$2:$A$11,0))</f>
        <v/>
      </c>
      <c r="F31" s="3">
        <f>INDEX('02_品质等级'!$D$2:$D$6,MATCH(C31,'02_品质等级'!$A$2:$A$6,0))</f>
        <v/>
      </c>
      <c r="G31" s="3">
        <f>INDEX('05_副属性基础'!$H$2:$H$13,MATCH(D31,'05_副属性基础'!$G$2:$G$13,0))</f>
        <v/>
      </c>
      <c r="H31" s="3">
        <f>INDEX('02_品质等级'!$G$2:$G$6,MATCH(C31,'02_品质等级'!$A$2:$A$6,0))</f>
        <v/>
      </c>
      <c r="I31" s="3">
        <f>INDEX('02_品质等级'!$H$2:$H$6,MATCH(C31,'02_品质等级'!$A$2:$A$6,0))</f>
        <v/>
      </c>
      <c r="J31" s="3">
        <f>E31*F31*G31*H31</f>
        <v/>
      </c>
      <c r="K31" s="3">
        <f>E31*F31*G31*I31</f>
        <v/>
      </c>
    </row>
    <row r="32">
      <c r="A32" s="2" t="inlineStr">
        <is>
          <t>攻击百分比</t>
        </is>
      </c>
      <c r="B32" s="2" t="inlineStr">
        <is>
          <t>百分比</t>
        </is>
      </c>
      <c r="C32" s="2" t="inlineStr">
        <is>
          <t>紫</t>
        </is>
      </c>
      <c r="D32" s="2" t="n">
        <v>35</v>
      </c>
      <c r="E32" s="3">
        <f>INDEX('05_副属性基础'!$C$2:$C$11,MATCH(A32,'05_副属性基础'!$A$2:$A$11,0))</f>
        <v/>
      </c>
      <c r="F32" s="3">
        <f>INDEX('02_品质等级'!$D$2:$D$6,MATCH(C32,'02_品质等级'!$A$2:$A$6,0))</f>
        <v/>
      </c>
      <c r="G32" s="3">
        <f>INDEX('05_副属性基础'!$H$2:$H$13,MATCH(D32,'05_副属性基础'!$G$2:$G$13,0))</f>
        <v/>
      </c>
      <c r="H32" s="3">
        <f>INDEX('02_品质等级'!$G$2:$G$6,MATCH(C32,'02_品质等级'!$A$2:$A$6,0))</f>
        <v/>
      </c>
      <c r="I32" s="3">
        <f>INDEX('02_品质等级'!$H$2:$H$6,MATCH(C32,'02_品质等级'!$A$2:$A$6,0))</f>
        <v/>
      </c>
      <c r="J32" s="3">
        <f>E32*F32*G32*H32</f>
        <v/>
      </c>
      <c r="K32" s="3">
        <f>E32*F32*G32*I32</f>
        <v/>
      </c>
    </row>
    <row r="33">
      <c r="A33" s="2" t="inlineStr">
        <is>
          <t>攻击百分比</t>
        </is>
      </c>
      <c r="B33" s="2" t="inlineStr">
        <is>
          <t>百分比</t>
        </is>
      </c>
      <c r="C33" s="2" t="inlineStr">
        <is>
          <t>紫</t>
        </is>
      </c>
      <c r="D33" s="2" t="n">
        <v>40</v>
      </c>
      <c r="E33" s="3">
        <f>INDEX('05_副属性基础'!$C$2:$C$11,MATCH(A33,'05_副属性基础'!$A$2:$A$11,0))</f>
        <v/>
      </c>
      <c r="F33" s="3">
        <f>INDEX('02_品质等级'!$D$2:$D$6,MATCH(C33,'02_品质等级'!$A$2:$A$6,0))</f>
        <v/>
      </c>
      <c r="G33" s="3">
        <f>INDEX('05_副属性基础'!$H$2:$H$13,MATCH(D33,'05_副属性基础'!$G$2:$G$13,0))</f>
        <v/>
      </c>
      <c r="H33" s="3">
        <f>INDEX('02_品质等级'!$G$2:$G$6,MATCH(C33,'02_品质等级'!$A$2:$A$6,0))</f>
        <v/>
      </c>
      <c r="I33" s="3">
        <f>INDEX('02_品质等级'!$H$2:$H$6,MATCH(C33,'02_品质等级'!$A$2:$A$6,0))</f>
        <v/>
      </c>
      <c r="J33" s="3">
        <f>E33*F33*G33*H33</f>
        <v/>
      </c>
      <c r="K33" s="3">
        <f>E33*F33*G33*I33</f>
        <v/>
      </c>
    </row>
    <row r="34">
      <c r="A34" s="2" t="inlineStr">
        <is>
          <t>攻击百分比</t>
        </is>
      </c>
      <c r="B34" s="2" t="inlineStr">
        <is>
          <t>百分比</t>
        </is>
      </c>
      <c r="C34" s="2" t="inlineStr">
        <is>
          <t>紫</t>
        </is>
      </c>
      <c r="D34" s="2" t="n">
        <v>45</v>
      </c>
      <c r="E34" s="3">
        <f>INDEX('05_副属性基础'!$C$2:$C$11,MATCH(A34,'05_副属性基础'!$A$2:$A$11,0))</f>
        <v/>
      </c>
      <c r="F34" s="3">
        <f>INDEX('02_品质等级'!$D$2:$D$6,MATCH(C34,'02_品质等级'!$A$2:$A$6,0))</f>
        <v/>
      </c>
      <c r="G34" s="3">
        <f>INDEX('05_副属性基础'!$H$2:$H$13,MATCH(D34,'05_副属性基础'!$G$2:$G$13,0))</f>
        <v/>
      </c>
      <c r="H34" s="3">
        <f>INDEX('02_品质等级'!$G$2:$G$6,MATCH(C34,'02_品质等级'!$A$2:$A$6,0))</f>
        <v/>
      </c>
      <c r="I34" s="3">
        <f>INDEX('02_品质等级'!$H$2:$H$6,MATCH(C34,'02_品质等级'!$A$2:$A$6,0))</f>
        <v/>
      </c>
      <c r="J34" s="3">
        <f>E34*F34*G34*H34</f>
        <v/>
      </c>
      <c r="K34" s="3">
        <f>E34*F34*G34*I34</f>
        <v/>
      </c>
    </row>
    <row r="35">
      <c r="A35" s="2" t="inlineStr">
        <is>
          <t>攻击百分比</t>
        </is>
      </c>
      <c r="B35" s="2" t="inlineStr">
        <is>
          <t>百分比</t>
        </is>
      </c>
      <c r="C35" s="2" t="inlineStr">
        <is>
          <t>紫</t>
        </is>
      </c>
      <c r="D35" s="2" t="n">
        <v>50</v>
      </c>
      <c r="E35" s="3">
        <f>INDEX('05_副属性基础'!$C$2:$C$11,MATCH(A35,'05_副属性基础'!$A$2:$A$11,0))</f>
        <v/>
      </c>
      <c r="F35" s="3">
        <f>INDEX('02_品质等级'!$D$2:$D$6,MATCH(C35,'02_品质等级'!$A$2:$A$6,0))</f>
        <v/>
      </c>
      <c r="G35" s="3">
        <f>INDEX('05_副属性基础'!$H$2:$H$13,MATCH(D35,'05_副属性基础'!$G$2:$G$13,0))</f>
        <v/>
      </c>
      <c r="H35" s="3">
        <f>INDEX('02_品质等级'!$G$2:$G$6,MATCH(C35,'02_品质等级'!$A$2:$A$6,0))</f>
        <v/>
      </c>
      <c r="I35" s="3">
        <f>INDEX('02_品质等级'!$H$2:$H$6,MATCH(C35,'02_品质等级'!$A$2:$A$6,0))</f>
        <v/>
      </c>
      <c r="J35" s="3">
        <f>E35*F35*G35*H35</f>
        <v/>
      </c>
      <c r="K35" s="3">
        <f>E35*F35*G35*I35</f>
        <v/>
      </c>
    </row>
    <row r="36">
      <c r="A36" s="2" t="inlineStr">
        <is>
          <t>攻击百分比</t>
        </is>
      </c>
      <c r="B36" s="2" t="inlineStr">
        <is>
          <t>百分比</t>
        </is>
      </c>
      <c r="C36" s="2" t="inlineStr">
        <is>
          <t>紫</t>
        </is>
      </c>
      <c r="D36" s="2" t="n">
        <v>55</v>
      </c>
      <c r="E36" s="3">
        <f>INDEX('05_副属性基础'!$C$2:$C$11,MATCH(A36,'05_副属性基础'!$A$2:$A$11,0))</f>
        <v/>
      </c>
      <c r="F36" s="3">
        <f>INDEX('02_品质等级'!$D$2:$D$6,MATCH(C36,'02_品质等级'!$A$2:$A$6,0))</f>
        <v/>
      </c>
      <c r="G36" s="3">
        <f>INDEX('05_副属性基础'!$H$2:$H$13,MATCH(D36,'05_副属性基础'!$G$2:$G$13,0))</f>
        <v/>
      </c>
      <c r="H36" s="3">
        <f>INDEX('02_品质等级'!$G$2:$G$6,MATCH(C36,'02_品质等级'!$A$2:$A$6,0))</f>
        <v/>
      </c>
      <c r="I36" s="3">
        <f>INDEX('02_品质等级'!$H$2:$H$6,MATCH(C36,'02_品质等级'!$A$2:$A$6,0))</f>
        <v/>
      </c>
      <c r="J36" s="3">
        <f>E36*F36*G36*H36</f>
        <v/>
      </c>
      <c r="K36" s="3">
        <f>E36*F36*G36*I36</f>
        <v/>
      </c>
    </row>
    <row r="37">
      <c r="A37" s="2" t="inlineStr">
        <is>
          <t>攻击百分比</t>
        </is>
      </c>
      <c r="B37" s="2" t="inlineStr">
        <is>
          <t>百分比</t>
        </is>
      </c>
      <c r="C37" s="2" t="inlineStr">
        <is>
          <t>紫</t>
        </is>
      </c>
      <c r="D37" s="2" t="n">
        <v>60</v>
      </c>
      <c r="E37" s="3">
        <f>INDEX('05_副属性基础'!$C$2:$C$11,MATCH(A37,'05_副属性基础'!$A$2:$A$11,0))</f>
        <v/>
      </c>
      <c r="F37" s="3">
        <f>INDEX('02_品质等级'!$D$2:$D$6,MATCH(C37,'02_品质等级'!$A$2:$A$6,0))</f>
        <v/>
      </c>
      <c r="G37" s="3">
        <f>INDEX('05_副属性基础'!$H$2:$H$13,MATCH(D37,'05_副属性基础'!$G$2:$G$13,0))</f>
        <v/>
      </c>
      <c r="H37" s="3">
        <f>INDEX('02_品质等级'!$G$2:$G$6,MATCH(C37,'02_品质等级'!$A$2:$A$6,0))</f>
        <v/>
      </c>
      <c r="I37" s="3">
        <f>INDEX('02_品质等级'!$H$2:$H$6,MATCH(C37,'02_品质等级'!$A$2:$A$6,0))</f>
        <v/>
      </c>
      <c r="J37" s="3">
        <f>E37*F37*G37*H37</f>
        <v/>
      </c>
      <c r="K37" s="3">
        <f>E37*F37*G37*I37</f>
        <v/>
      </c>
    </row>
    <row r="38">
      <c r="A38" s="2" t="inlineStr">
        <is>
          <t>攻击百分比</t>
        </is>
      </c>
      <c r="B38" s="2" t="inlineStr">
        <is>
          <t>百分比</t>
        </is>
      </c>
      <c r="C38" s="2" t="inlineStr">
        <is>
          <t>金</t>
        </is>
      </c>
      <c r="D38" s="2" t="n">
        <v>5</v>
      </c>
      <c r="E38" s="3">
        <f>INDEX('05_副属性基础'!$C$2:$C$11,MATCH(A38,'05_副属性基础'!$A$2:$A$11,0))</f>
        <v/>
      </c>
      <c r="F38" s="3">
        <f>INDEX('02_品质等级'!$D$2:$D$6,MATCH(C38,'02_品质等级'!$A$2:$A$6,0))</f>
        <v/>
      </c>
      <c r="G38" s="3">
        <f>INDEX('05_副属性基础'!$H$2:$H$13,MATCH(D38,'05_副属性基础'!$G$2:$G$13,0))</f>
        <v/>
      </c>
      <c r="H38" s="3">
        <f>INDEX('02_品质等级'!$G$2:$G$6,MATCH(C38,'02_品质等级'!$A$2:$A$6,0))</f>
        <v/>
      </c>
      <c r="I38" s="3">
        <f>INDEX('02_品质等级'!$H$2:$H$6,MATCH(C38,'02_品质等级'!$A$2:$A$6,0))</f>
        <v/>
      </c>
      <c r="J38" s="3">
        <f>E38*F38*G38*H38</f>
        <v/>
      </c>
      <c r="K38" s="3">
        <f>E38*F38*G38*I38</f>
        <v/>
      </c>
    </row>
    <row r="39">
      <c r="A39" s="2" t="inlineStr">
        <is>
          <t>攻击百分比</t>
        </is>
      </c>
      <c r="B39" s="2" t="inlineStr">
        <is>
          <t>百分比</t>
        </is>
      </c>
      <c r="C39" s="2" t="inlineStr">
        <is>
          <t>金</t>
        </is>
      </c>
      <c r="D39" s="2" t="n">
        <v>10</v>
      </c>
      <c r="E39" s="3">
        <f>INDEX('05_副属性基础'!$C$2:$C$11,MATCH(A39,'05_副属性基础'!$A$2:$A$11,0))</f>
        <v/>
      </c>
      <c r="F39" s="3">
        <f>INDEX('02_品质等级'!$D$2:$D$6,MATCH(C39,'02_品质等级'!$A$2:$A$6,0))</f>
        <v/>
      </c>
      <c r="G39" s="3">
        <f>INDEX('05_副属性基础'!$H$2:$H$13,MATCH(D39,'05_副属性基础'!$G$2:$G$13,0))</f>
        <v/>
      </c>
      <c r="H39" s="3">
        <f>INDEX('02_品质等级'!$G$2:$G$6,MATCH(C39,'02_品质等级'!$A$2:$A$6,0))</f>
        <v/>
      </c>
      <c r="I39" s="3">
        <f>INDEX('02_品质等级'!$H$2:$H$6,MATCH(C39,'02_品质等级'!$A$2:$A$6,0))</f>
        <v/>
      </c>
      <c r="J39" s="3">
        <f>E39*F39*G39*H39</f>
        <v/>
      </c>
      <c r="K39" s="3">
        <f>E39*F39*G39*I39</f>
        <v/>
      </c>
    </row>
    <row r="40">
      <c r="A40" s="2" t="inlineStr">
        <is>
          <t>攻击百分比</t>
        </is>
      </c>
      <c r="B40" s="2" t="inlineStr">
        <is>
          <t>百分比</t>
        </is>
      </c>
      <c r="C40" s="2" t="inlineStr">
        <is>
          <t>金</t>
        </is>
      </c>
      <c r="D40" s="2" t="n">
        <v>15</v>
      </c>
      <c r="E40" s="3">
        <f>INDEX('05_副属性基础'!$C$2:$C$11,MATCH(A40,'05_副属性基础'!$A$2:$A$11,0))</f>
        <v/>
      </c>
      <c r="F40" s="3">
        <f>INDEX('02_品质等级'!$D$2:$D$6,MATCH(C40,'02_品质等级'!$A$2:$A$6,0))</f>
        <v/>
      </c>
      <c r="G40" s="3">
        <f>INDEX('05_副属性基础'!$H$2:$H$13,MATCH(D40,'05_副属性基础'!$G$2:$G$13,0))</f>
        <v/>
      </c>
      <c r="H40" s="3">
        <f>INDEX('02_品质等级'!$G$2:$G$6,MATCH(C40,'02_品质等级'!$A$2:$A$6,0))</f>
        <v/>
      </c>
      <c r="I40" s="3">
        <f>INDEX('02_品质等级'!$H$2:$H$6,MATCH(C40,'02_品质等级'!$A$2:$A$6,0))</f>
        <v/>
      </c>
      <c r="J40" s="3">
        <f>E40*F40*G40*H40</f>
        <v/>
      </c>
      <c r="K40" s="3">
        <f>E40*F40*G40*I40</f>
        <v/>
      </c>
    </row>
    <row r="41">
      <c r="A41" s="2" t="inlineStr">
        <is>
          <t>攻击百分比</t>
        </is>
      </c>
      <c r="B41" s="2" t="inlineStr">
        <is>
          <t>百分比</t>
        </is>
      </c>
      <c r="C41" s="2" t="inlineStr">
        <is>
          <t>金</t>
        </is>
      </c>
      <c r="D41" s="2" t="n">
        <v>20</v>
      </c>
      <c r="E41" s="3">
        <f>INDEX('05_副属性基础'!$C$2:$C$11,MATCH(A41,'05_副属性基础'!$A$2:$A$11,0))</f>
        <v/>
      </c>
      <c r="F41" s="3">
        <f>INDEX('02_品质等级'!$D$2:$D$6,MATCH(C41,'02_品质等级'!$A$2:$A$6,0))</f>
        <v/>
      </c>
      <c r="G41" s="3">
        <f>INDEX('05_副属性基础'!$H$2:$H$13,MATCH(D41,'05_副属性基础'!$G$2:$G$13,0))</f>
        <v/>
      </c>
      <c r="H41" s="3">
        <f>INDEX('02_品质等级'!$G$2:$G$6,MATCH(C41,'02_品质等级'!$A$2:$A$6,0))</f>
        <v/>
      </c>
      <c r="I41" s="3">
        <f>INDEX('02_品质等级'!$H$2:$H$6,MATCH(C41,'02_品质等级'!$A$2:$A$6,0))</f>
        <v/>
      </c>
      <c r="J41" s="3">
        <f>E41*F41*G41*H41</f>
        <v/>
      </c>
      <c r="K41" s="3">
        <f>E41*F41*G41*I41</f>
        <v/>
      </c>
    </row>
    <row r="42">
      <c r="A42" s="2" t="inlineStr">
        <is>
          <t>攻击百分比</t>
        </is>
      </c>
      <c r="B42" s="2" t="inlineStr">
        <is>
          <t>百分比</t>
        </is>
      </c>
      <c r="C42" s="2" t="inlineStr">
        <is>
          <t>金</t>
        </is>
      </c>
      <c r="D42" s="2" t="n">
        <v>25</v>
      </c>
      <c r="E42" s="3">
        <f>INDEX('05_副属性基础'!$C$2:$C$11,MATCH(A42,'05_副属性基础'!$A$2:$A$11,0))</f>
        <v/>
      </c>
      <c r="F42" s="3">
        <f>INDEX('02_品质等级'!$D$2:$D$6,MATCH(C42,'02_品质等级'!$A$2:$A$6,0))</f>
        <v/>
      </c>
      <c r="G42" s="3">
        <f>INDEX('05_副属性基础'!$H$2:$H$13,MATCH(D42,'05_副属性基础'!$G$2:$G$13,0))</f>
        <v/>
      </c>
      <c r="H42" s="3">
        <f>INDEX('02_品质等级'!$G$2:$G$6,MATCH(C42,'02_品质等级'!$A$2:$A$6,0))</f>
        <v/>
      </c>
      <c r="I42" s="3">
        <f>INDEX('02_品质等级'!$H$2:$H$6,MATCH(C42,'02_品质等级'!$A$2:$A$6,0))</f>
        <v/>
      </c>
      <c r="J42" s="3">
        <f>E42*F42*G42*H42</f>
        <v/>
      </c>
      <c r="K42" s="3">
        <f>E42*F42*G42*I42</f>
        <v/>
      </c>
    </row>
    <row r="43">
      <c r="A43" s="2" t="inlineStr">
        <is>
          <t>攻击百分比</t>
        </is>
      </c>
      <c r="B43" s="2" t="inlineStr">
        <is>
          <t>百分比</t>
        </is>
      </c>
      <c r="C43" s="2" t="inlineStr">
        <is>
          <t>金</t>
        </is>
      </c>
      <c r="D43" s="2" t="n">
        <v>30</v>
      </c>
      <c r="E43" s="3">
        <f>INDEX('05_副属性基础'!$C$2:$C$11,MATCH(A43,'05_副属性基础'!$A$2:$A$11,0))</f>
        <v/>
      </c>
      <c r="F43" s="3">
        <f>INDEX('02_品质等级'!$D$2:$D$6,MATCH(C43,'02_品质等级'!$A$2:$A$6,0))</f>
        <v/>
      </c>
      <c r="G43" s="3">
        <f>INDEX('05_副属性基础'!$H$2:$H$13,MATCH(D43,'05_副属性基础'!$G$2:$G$13,0))</f>
        <v/>
      </c>
      <c r="H43" s="3">
        <f>INDEX('02_品质等级'!$G$2:$G$6,MATCH(C43,'02_品质等级'!$A$2:$A$6,0))</f>
        <v/>
      </c>
      <c r="I43" s="3">
        <f>INDEX('02_品质等级'!$H$2:$H$6,MATCH(C43,'02_品质等级'!$A$2:$A$6,0))</f>
        <v/>
      </c>
      <c r="J43" s="3">
        <f>E43*F43*G43*H43</f>
        <v/>
      </c>
      <c r="K43" s="3">
        <f>E43*F43*G43*I43</f>
        <v/>
      </c>
    </row>
    <row r="44">
      <c r="A44" s="2" t="inlineStr">
        <is>
          <t>攻击百分比</t>
        </is>
      </c>
      <c r="B44" s="2" t="inlineStr">
        <is>
          <t>百分比</t>
        </is>
      </c>
      <c r="C44" s="2" t="inlineStr">
        <is>
          <t>金</t>
        </is>
      </c>
      <c r="D44" s="2" t="n">
        <v>35</v>
      </c>
      <c r="E44" s="3">
        <f>INDEX('05_副属性基础'!$C$2:$C$11,MATCH(A44,'05_副属性基础'!$A$2:$A$11,0))</f>
        <v/>
      </c>
      <c r="F44" s="3">
        <f>INDEX('02_品质等级'!$D$2:$D$6,MATCH(C44,'02_品质等级'!$A$2:$A$6,0))</f>
        <v/>
      </c>
      <c r="G44" s="3">
        <f>INDEX('05_副属性基础'!$H$2:$H$13,MATCH(D44,'05_副属性基础'!$G$2:$G$13,0))</f>
        <v/>
      </c>
      <c r="H44" s="3">
        <f>INDEX('02_品质等级'!$G$2:$G$6,MATCH(C44,'02_品质等级'!$A$2:$A$6,0))</f>
        <v/>
      </c>
      <c r="I44" s="3">
        <f>INDEX('02_品质等级'!$H$2:$H$6,MATCH(C44,'02_品质等级'!$A$2:$A$6,0))</f>
        <v/>
      </c>
      <c r="J44" s="3">
        <f>E44*F44*G44*H44</f>
        <v/>
      </c>
      <c r="K44" s="3">
        <f>E44*F44*G44*I44</f>
        <v/>
      </c>
    </row>
    <row r="45">
      <c r="A45" s="2" t="inlineStr">
        <is>
          <t>攻击百分比</t>
        </is>
      </c>
      <c r="B45" s="2" t="inlineStr">
        <is>
          <t>百分比</t>
        </is>
      </c>
      <c r="C45" s="2" t="inlineStr">
        <is>
          <t>金</t>
        </is>
      </c>
      <c r="D45" s="2" t="n">
        <v>40</v>
      </c>
      <c r="E45" s="3">
        <f>INDEX('05_副属性基础'!$C$2:$C$11,MATCH(A45,'05_副属性基础'!$A$2:$A$11,0))</f>
        <v/>
      </c>
      <c r="F45" s="3">
        <f>INDEX('02_品质等级'!$D$2:$D$6,MATCH(C45,'02_品质等级'!$A$2:$A$6,0))</f>
        <v/>
      </c>
      <c r="G45" s="3">
        <f>INDEX('05_副属性基础'!$H$2:$H$13,MATCH(D45,'05_副属性基础'!$G$2:$G$13,0))</f>
        <v/>
      </c>
      <c r="H45" s="3">
        <f>INDEX('02_品质等级'!$G$2:$G$6,MATCH(C45,'02_品质等级'!$A$2:$A$6,0))</f>
        <v/>
      </c>
      <c r="I45" s="3">
        <f>INDEX('02_品质等级'!$H$2:$H$6,MATCH(C45,'02_品质等级'!$A$2:$A$6,0))</f>
        <v/>
      </c>
      <c r="J45" s="3">
        <f>E45*F45*G45*H45</f>
        <v/>
      </c>
      <c r="K45" s="3">
        <f>E45*F45*G45*I45</f>
        <v/>
      </c>
    </row>
    <row r="46">
      <c r="A46" s="2" t="inlineStr">
        <is>
          <t>攻击百分比</t>
        </is>
      </c>
      <c r="B46" s="2" t="inlineStr">
        <is>
          <t>百分比</t>
        </is>
      </c>
      <c r="C46" s="2" t="inlineStr">
        <is>
          <t>金</t>
        </is>
      </c>
      <c r="D46" s="2" t="n">
        <v>45</v>
      </c>
      <c r="E46" s="3">
        <f>INDEX('05_副属性基础'!$C$2:$C$11,MATCH(A46,'05_副属性基础'!$A$2:$A$11,0))</f>
        <v/>
      </c>
      <c r="F46" s="3">
        <f>INDEX('02_品质等级'!$D$2:$D$6,MATCH(C46,'02_品质等级'!$A$2:$A$6,0))</f>
        <v/>
      </c>
      <c r="G46" s="3">
        <f>INDEX('05_副属性基础'!$H$2:$H$13,MATCH(D46,'05_副属性基础'!$G$2:$G$13,0))</f>
        <v/>
      </c>
      <c r="H46" s="3">
        <f>INDEX('02_品质等级'!$G$2:$G$6,MATCH(C46,'02_品质等级'!$A$2:$A$6,0))</f>
        <v/>
      </c>
      <c r="I46" s="3">
        <f>INDEX('02_品质等级'!$H$2:$H$6,MATCH(C46,'02_品质等级'!$A$2:$A$6,0))</f>
        <v/>
      </c>
      <c r="J46" s="3">
        <f>E46*F46*G46*H46</f>
        <v/>
      </c>
      <c r="K46" s="3">
        <f>E46*F46*G46*I46</f>
        <v/>
      </c>
    </row>
    <row r="47">
      <c r="A47" s="2" t="inlineStr">
        <is>
          <t>攻击百分比</t>
        </is>
      </c>
      <c r="B47" s="2" t="inlineStr">
        <is>
          <t>百分比</t>
        </is>
      </c>
      <c r="C47" s="2" t="inlineStr">
        <is>
          <t>金</t>
        </is>
      </c>
      <c r="D47" s="2" t="n">
        <v>50</v>
      </c>
      <c r="E47" s="3">
        <f>INDEX('05_副属性基础'!$C$2:$C$11,MATCH(A47,'05_副属性基础'!$A$2:$A$11,0))</f>
        <v/>
      </c>
      <c r="F47" s="3">
        <f>INDEX('02_品质等级'!$D$2:$D$6,MATCH(C47,'02_品质等级'!$A$2:$A$6,0))</f>
        <v/>
      </c>
      <c r="G47" s="3">
        <f>INDEX('05_副属性基础'!$H$2:$H$13,MATCH(D47,'05_副属性基础'!$G$2:$G$13,0))</f>
        <v/>
      </c>
      <c r="H47" s="3">
        <f>INDEX('02_品质等级'!$G$2:$G$6,MATCH(C47,'02_品质等级'!$A$2:$A$6,0))</f>
        <v/>
      </c>
      <c r="I47" s="3">
        <f>INDEX('02_品质等级'!$H$2:$H$6,MATCH(C47,'02_品质等级'!$A$2:$A$6,0))</f>
        <v/>
      </c>
      <c r="J47" s="3">
        <f>E47*F47*G47*H47</f>
        <v/>
      </c>
      <c r="K47" s="3">
        <f>E47*F47*G47*I47</f>
        <v/>
      </c>
    </row>
    <row r="48">
      <c r="A48" s="2" t="inlineStr">
        <is>
          <t>攻击百分比</t>
        </is>
      </c>
      <c r="B48" s="2" t="inlineStr">
        <is>
          <t>百分比</t>
        </is>
      </c>
      <c r="C48" s="2" t="inlineStr">
        <is>
          <t>金</t>
        </is>
      </c>
      <c r="D48" s="2" t="n">
        <v>55</v>
      </c>
      <c r="E48" s="3">
        <f>INDEX('05_副属性基础'!$C$2:$C$11,MATCH(A48,'05_副属性基础'!$A$2:$A$11,0))</f>
        <v/>
      </c>
      <c r="F48" s="3">
        <f>INDEX('02_品质等级'!$D$2:$D$6,MATCH(C48,'02_品质等级'!$A$2:$A$6,0))</f>
        <v/>
      </c>
      <c r="G48" s="3">
        <f>INDEX('05_副属性基础'!$H$2:$H$13,MATCH(D48,'05_副属性基础'!$G$2:$G$13,0))</f>
        <v/>
      </c>
      <c r="H48" s="3">
        <f>INDEX('02_品质等级'!$G$2:$G$6,MATCH(C48,'02_品质等级'!$A$2:$A$6,0))</f>
        <v/>
      </c>
      <c r="I48" s="3">
        <f>INDEX('02_品质等级'!$H$2:$H$6,MATCH(C48,'02_品质等级'!$A$2:$A$6,0))</f>
        <v/>
      </c>
      <c r="J48" s="3">
        <f>E48*F48*G48*H48</f>
        <v/>
      </c>
      <c r="K48" s="3">
        <f>E48*F48*G48*I48</f>
        <v/>
      </c>
    </row>
    <row r="49">
      <c r="A49" s="2" t="inlineStr">
        <is>
          <t>攻击百分比</t>
        </is>
      </c>
      <c r="B49" s="2" t="inlineStr">
        <is>
          <t>百分比</t>
        </is>
      </c>
      <c r="C49" s="2" t="inlineStr">
        <is>
          <t>金</t>
        </is>
      </c>
      <c r="D49" s="2" t="n">
        <v>60</v>
      </c>
      <c r="E49" s="3">
        <f>INDEX('05_副属性基础'!$C$2:$C$11,MATCH(A49,'05_副属性基础'!$A$2:$A$11,0))</f>
        <v/>
      </c>
      <c r="F49" s="3">
        <f>INDEX('02_品质等级'!$D$2:$D$6,MATCH(C49,'02_品质等级'!$A$2:$A$6,0))</f>
        <v/>
      </c>
      <c r="G49" s="3">
        <f>INDEX('05_副属性基础'!$H$2:$H$13,MATCH(D49,'05_副属性基础'!$G$2:$G$13,0))</f>
        <v/>
      </c>
      <c r="H49" s="3">
        <f>INDEX('02_品质等级'!$G$2:$G$6,MATCH(C49,'02_品质等级'!$A$2:$A$6,0))</f>
        <v/>
      </c>
      <c r="I49" s="3">
        <f>INDEX('02_品质等级'!$H$2:$H$6,MATCH(C49,'02_品质等级'!$A$2:$A$6,0))</f>
        <v/>
      </c>
      <c r="J49" s="3">
        <f>E49*F49*G49*H49</f>
        <v/>
      </c>
      <c r="K49" s="3">
        <f>E49*F49*G49*I49</f>
        <v/>
      </c>
    </row>
    <row r="50">
      <c r="A50" s="2" t="inlineStr">
        <is>
          <t>攻击百分比</t>
        </is>
      </c>
      <c r="B50" s="2" t="inlineStr">
        <is>
          <t>百分比</t>
        </is>
      </c>
      <c r="C50" s="2" t="inlineStr">
        <is>
          <t>红</t>
        </is>
      </c>
      <c r="D50" s="2" t="n">
        <v>5</v>
      </c>
      <c r="E50" s="3">
        <f>INDEX('05_副属性基础'!$C$2:$C$11,MATCH(A50,'05_副属性基础'!$A$2:$A$11,0))</f>
        <v/>
      </c>
      <c r="F50" s="3">
        <f>INDEX('02_品质等级'!$D$2:$D$6,MATCH(C50,'02_品质等级'!$A$2:$A$6,0))</f>
        <v/>
      </c>
      <c r="G50" s="3">
        <f>INDEX('05_副属性基础'!$H$2:$H$13,MATCH(D50,'05_副属性基础'!$G$2:$G$13,0))</f>
        <v/>
      </c>
      <c r="H50" s="3">
        <f>INDEX('02_品质等级'!$G$2:$G$6,MATCH(C50,'02_品质等级'!$A$2:$A$6,0))</f>
        <v/>
      </c>
      <c r="I50" s="3">
        <f>INDEX('02_品质等级'!$H$2:$H$6,MATCH(C50,'02_品质等级'!$A$2:$A$6,0))</f>
        <v/>
      </c>
      <c r="J50" s="3">
        <f>E50*F50*G50*H50</f>
        <v/>
      </c>
      <c r="K50" s="3">
        <f>E50*F50*G50*I50</f>
        <v/>
      </c>
    </row>
    <row r="51">
      <c r="A51" s="2" t="inlineStr">
        <is>
          <t>攻击百分比</t>
        </is>
      </c>
      <c r="B51" s="2" t="inlineStr">
        <is>
          <t>百分比</t>
        </is>
      </c>
      <c r="C51" s="2" t="inlineStr">
        <is>
          <t>红</t>
        </is>
      </c>
      <c r="D51" s="2" t="n">
        <v>10</v>
      </c>
      <c r="E51" s="3">
        <f>INDEX('05_副属性基础'!$C$2:$C$11,MATCH(A51,'05_副属性基础'!$A$2:$A$11,0))</f>
        <v/>
      </c>
      <c r="F51" s="3">
        <f>INDEX('02_品质等级'!$D$2:$D$6,MATCH(C51,'02_品质等级'!$A$2:$A$6,0))</f>
        <v/>
      </c>
      <c r="G51" s="3">
        <f>INDEX('05_副属性基础'!$H$2:$H$13,MATCH(D51,'05_副属性基础'!$G$2:$G$13,0))</f>
        <v/>
      </c>
      <c r="H51" s="3">
        <f>INDEX('02_品质等级'!$G$2:$G$6,MATCH(C51,'02_品质等级'!$A$2:$A$6,0))</f>
        <v/>
      </c>
      <c r="I51" s="3">
        <f>INDEX('02_品质等级'!$H$2:$H$6,MATCH(C51,'02_品质等级'!$A$2:$A$6,0))</f>
        <v/>
      </c>
      <c r="J51" s="3">
        <f>E51*F51*G51*H51</f>
        <v/>
      </c>
      <c r="K51" s="3">
        <f>E51*F51*G51*I51</f>
        <v/>
      </c>
    </row>
    <row r="52">
      <c r="A52" s="2" t="inlineStr">
        <is>
          <t>攻击百分比</t>
        </is>
      </c>
      <c r="B52" s="2" t="inlineStr">
        <is>
          <t>百分比</t>
        </is>
      </c>
      <c r="C52" s="2" t="inlineStr">
        <is>
          <t>红</t>
        </is>
      </c>
      <c r="D52" s="2" t="n">
        <v>15</v>
      </c>
      <c r="E52" s="3">
        <f>INDEX('05_副属性基础'!$C$2:$C$11,MATCH(A52,'05_副属性基础'!$A$2:$A$11,0))</f>
        <v/>
      </c>
      <c r="F52" s="3">
        <f>INDEX('02_品质等级'!$D$2:$D$6,MATCH(C52,'02_品质等级'!$A$2:$A$6,0))</f>
        <v/>
      </c>
      <c r="G52" s="3">
        <f>INDEX('05_副属性基础'!$H$2:$H$13,MATCH(D52,'05_副属性基础'!$G$2:$G$13,0))</f>
        <v/>
      </c>
      <c r="H52" s="3">
        <f>INDEX('02_品质等级'!$G$2:$G$6,MATCH(C52,'02_品质等级'!$A$2:$A$6,0))</f>
        <v/>
      </c>
      <c r="I52" s="3">
        <f>INDEX('02_品质等级'!$H$2:$H$6,MATCH(C52,'02_品质等级'!$A$2:$A$6,0))</f>
        <v/>
      </c>
      <c r="J52" s="3">
        <f>E52*F52*G52*H52</f>
        <v/>
      </c>
      <c r="K52" s="3">
        <f>E52*F52*G52*I52</f>
        <v/>
      </c>
    </row>
    <row r="53">
      <c r="A53" s="2" t="inlineStr">
        <is>
          <t>攻击百分比</t>
        </is>
      </c>
      <c r="B53" s="2" t="inlineStr">
        <is>
          <t>百分比</t>
        </is>
      </c>
      <c r="C53" s="2" t="inlineStr">
        <is>
          <t>红</t>
        </is>
      </c>
      <c r="D53" s="2" t="n">
        <v>20</v>
      </c>
      <c r="E53" s="3">
        <f>INDEX('05_副属性基础'!$C$2:$C$11,MATCH(A53,'05_副属性基础'!$A$2:$A$11,0))</f>
        <v/>
      </c>
      <c r="F53" s="3">
        <f>INDEX('02_品质等级'!$D$2:$D$6,MATCH(C53,'02_品质等级'!$A$2:$A$6,0))</f>
        <v/>
      </c>
      <c r="G53" s="3">
        <f>INDEX('05_副属性基础'!$H$2:$H$13,MATCH(D53,'05_副属性基础'!$G$2:$G$13,0))</f>
        <v/>
      </c>
      <c r="H53" s="3">
        <f>INDEX('02_品质等级'!$G$2:$G$6,MATCH(C53,'02_品质等级'!$A$2:$A$6,0))</f>
        <v/>
      </c>
      <c r="I53" s="3">
        <f>INDEX('02_品质等级'!$H$2:$H$6,MATCH(C53,'02_品质等级'!$A$2:$A$6,0))</f>
        <v/>
      </c>
      <c r="J53" s="3">
        <f>E53*F53*G53*H53</f>
        <v/>
      </c>
      <c r="K53" s="3">
        <f>E53*F53*G53*I53</f>
        <v/>
      </c>
    </row>
    <row r="54">
      <c r="A54" s="2" t="inlineStr">
        <is>
          <t>攻击百分比</t>
        </is>
      </c>
      <c r="B54" s="2" t="inlineStr">
        <is>
          <t>百分比</t>
        </is>
      </c>
      <c r="C54" s="2" t="inlineStr">
        <is>
          <t>红</t>
        </is>
      </c>
      <c r="D54" s="2" t="n">
        <v>25</v>
      </c>
      <c r="E54" s="3">
        <f>INDEX('05_副属性基础'!$C$2:$C$11,MATCH(A54,'05_副属性基础'!$A$2:$A$11,0))</f>
        <v/>
      </c>
      <c r="F54" s="3">
        <f>INDEX('02_品质等级'!$D$2:$D$6,MATCH(C54,'02_品质等级'!$A$2:$A$6,0))</f>
        <v/>
      </c>
      <c r="G54" s="3">
        <f>INDEX('05_副属性基础'!$H$2:$H$13,MATCH(D54,'05_副属性基础'!$G$2:$G$13,0))</f>
        <v/>
      </c>
      <c r="H54" s="3">
        <f>INDEX('02_品质等级'!$G$2:$G$6,MATCH(C54,'02_品质等级'!$A$2:$A$6,0))</f>
        <v/>
      </c>
      <c r="I54" s="3">
        <f>INDEX('02_品质等级'!$H$2:$H$6,MATCH(C54,'02_品质等级'!$A$2:$A$6,0))</f>
        <v/>
      </c>
      <c r="J54" s="3">
        <f>E54*F54*G54*H54</f>
        <v/>
      </c>
      <c r="K54" s="3">
        <f>E54*F54*G54*I54</f>
        <v/>
      </c>
    </row>
    <row r="55">
      <c r="A55" s="2" t="inlineStr">
        <is>
          <t>攻击百分比</t>
        </is>
      </c>
      <c r="B55" s="2" t="inlineStr">
        <is>
          <t>百分比</t>
        </is>
      </c>
      <c r="C55" s="2" t="inlineStr">
        <is>
          <t>红</t>
        </is>
      </c>
      <c r="D55" s="2" t="n">
        <v>30</v>
      </c>
      <c r="E55" s="3">
        <f>INDEX('05_副属性基础'!$C$2:$C$11,MATCH(A55,'05_副属性基础'!$A$2:$A$11,0))</f>
        <v/>
      </c>
      <c r="F55" s="3">
        <f>INDEX('02_品质等级'!$D$2:$D$6,MATCH(C55,'02_品质等级'!$A$2:$A$6,0))</f>
        <v/>
      </c>
      <c r="G55" s="3">
        <f>INDEX('05_副属性基础'!$H$2:$H$13,MATCH(D55,'05_副属性基础'!$G$2:$G$13,0))</f>
        <v/>
      </c>
      <c r="H55" s="3">
        <f>INDEX('02_品质等级'!$G$2:$G$6,MATCH(C55,'02_品质等级'!$A$2:$A$6,0))</f>
        <v/>
      </c>
      <c r="I55" s="3">
        <f>INDEX('02_品质等级'!$H$2:$H$6,MATCH(C55,'02_品质等级'!$A$2:$A$6,0))</f>
        <v/>
      </c>
      <c r="J55" s="3">
        <f>E55*F55*G55*H55</f>
        <v/>
      </c>
      <c r="K55" s="3">
        <f>E55*F55*G55*I55</f>
        <v/>
      </c>
    </row>
    <row r="56">
      <c r="A56" s="2" t="inlineStr">
        <is>
          <t>攻击百分比</t>
        </is>
      </c>
      <c r="B56" s="2" t="inlineStr">
        <is>
          <t>百分比</t>
        </is>
      </c>
      <c r="C56" s="2" t="inlineStr">
        <is>
          <t>红</t>
        </is>
      </c>
      <c r="D56" s="2" t="n">
        <v>35</v>
      </c>
      <c r="E56" s="3">
        <f>INDEX('05_副属性基础'!$C$2:$C$11,MATCH(A56,'05_副属性基础'!$A$2:$A$11,0))</f>
        <v/>
      </c>
      <c r="F56" s="3">
        <f>INDEX('02_品质等级'!$D$2:$D$6,MATCH(C56,'02_品质等级'!$A$2:$A$6,0))</f>
        <v/>
      </c>
      <c r="G56" s="3">
        <f>INDEX('05_副属性基础'!$H$2:$H$13,MATCH(D56,'05_副属性基础'!$G$2:$G$13,0))</f>
        <v/>
      </c>
      <c r="H56" s="3">
        <f>INDEX('02_品质等级'!$G$2:$G$6,MATCH(C56,'02_品质等级'!$A$2:$A$6,0))</f>
        <v/>
      </c>
      <c r="I56" s="3">
        <f>INDEX('02_品质等级'!$H$2:$H$6,MATCH(C56,'02_品质等级'!$A$2:$A$6,0))</f>
        <v/>
      </c>
      <c r="J56" s="3">
        <f>E56*F56*G56*H56</f>
        <v/>
      </c>
      <c r="K56" s="3">
        <f>E56*F56*G56*I56</f>
        <v/>
      </c>
    </row>
    <row r="57">
      <c r="A57" s="2" t="inlineStr">
        <is>
          <t>攻击百分比</t>
        </is>
      </c>
      <c r="B57" s="2" t="inlineStr">
        <is>
          <t>百分比</t>
        </is>
      </c>
      <c r="C57" s="2" t="inlineStr">
        <is>
          <t>红</t>
        </is>
      </c>
      <c r="D57" s="2" t="n">
        <v>40</v>
      </c>
      <c r="E57" s="3">
        <f>INDEX('05_副属性基础'!$C$2:$C$11,MATCH(A57,'05_副属性基础'!$A$2:$A$11,0))</f>
        <v/>
      </c>
      <c r="F57" s="3">
        <f>INDEX('02_品质等级'!$D$2:$D$6,MATCH(C57,'02_品质等级'!$A$2:$A$6,0))</f>
        <v/>
      </c>
      <c r="G57" s="3">
        <f>INDEX('05_副属性基础'!$H$2:$H$13,MATCH(D57,'05_副属性基础'!$G$2:$G$13,0))</f>
        <v/>
      </c>
      <c r="H57" s="3">
        <f>INDEX('02_品质等级'!$G$2:$G$6,MATCH(C57,'02_品质等级'!$A$2:$A$6,0))</f>
        <v/>
      </c>
      <c r="I57" s="3">
        <f>INDEX('02_品质等级'!$H$2:$H$6,MATCH(C57,'02_品质等级'!$A$2:$A$6,0))</f>
        <v/>
      </c>
      <c r="J57" s="3">
        <f>E57*F57*G57*H57</f>
        <v/>
      </c>
      <c r="K57" s="3">
        <f>E57*F57*G57*I57</f>
        <v/>
      </c>
    </row>
    <row r="58">
      <c r="A58" s="2" t="inlineStr">
        <is>
          <t>攻击百分比</t>
        </is>
      </c>
      <c r="B58" s="2" t="inlineStr">
        <is>
          <t>百分比</t>
        </is>
      </c>
      <c r="C58" s="2" t="inlineStr">
        <is>
          <t>红</t>
        </is>
      </c>
      <c r="D58" s="2" t="n">
        <v>45</v>
      </c>
      <c r="E58" s="3">
        <f>INDEX('05_副属性基础'!$C$2:$C$11,MATCH(A58,'05_副属性基础'!$A$2:$A$11,0))</f>
        <v/>
      </c>
      <c r="F58" s="3">
        <f>INDEX('02_品质等级'!$D$2:$D$6,MATCH(C58,'02_品质等级'!$A$2:$A$6,0))</f>
        <v/>
      </c>
      <c r="G58" s="3">
        <f>INDEX('05_副属性基础'!$H$2:$H$13,MATCH(D58,'05_副属性基础'!$G$2:$G$13,0))</f>
        <v/>
      </c>
      <c r="H58" s="3">
        <f>INDEX('02_品质等级'!$G$2:$G$6,MATCH(C58,'02_品质等级'!$A$2:$A$6,0))</f>
        <v/>
      </c>
      <c r="I58" s="3">
        <f>INDEX('02_品质等级'!$H$2:$H$6,MATCH(C58,'02_品质等级'!$A$2:$A$6,0))</f>
        <v/>
      </c>
      <c r="J58" s="3">
        <f>E58*F58*G58*H58</f>
        <v/>
      </c>
      <c r="K58" s="3">
        <f>E58*F58*G58*I58</f>
        <v/>
      </c>
    </row>
    <row r="59">
      <c r="A59" s="2" t="inlineStr">
        <is>
          <t>攻击百分比</t>
        </is>
      </c>
      <c r="B59" s="2" t="inlineStr">
        <is>
          <t>百分比</t>
        </is>
      </c>
      <c r="C59" s="2" t="inlineStr">
        <is>
          <t>红</t>
        </is>
      </c>
      <c r="D59" s="2" t="n">
        <v>50</v>
      </c>
      <c r="E59" s="3">
        <f>INDEX('05_副属性基础'!$C$2:$C$11,MATCH(A59,'05_副属性基础'!$A$2:$A$11,0))</f>
        <v/>
      </c>
      <c r="F59" s="3">
        <f>INDEX('02_品质等级'!$D$2:$D$6,MATCH(C59,'02_品质等级'!$A$2:$A$6,0))</f>
        <v/>
      </c>
      <c r="G59" s="3">
        <f>INDEX('05_副属性基础'!$H$2:$H$13,MATCH(D59,'05_副属性基础'!$G$2:$G$13,0))</f>
        <v/>
      </c>
      <c r="H59" s="3">
        <f>INDEX('02_品质等级'!$G$2:$G$6,MATCH(C59,'02_品质等级'!$A$2:$A$6,0))</f>
        <v/>
      </c>
      <c r="I59" s="3">
        <f>INDEX('02_品质等级'!$H$2:$H$6,MATCH(C59,'02_品质等级'!$A$2:$A$6,0))</f>
        <v/>
      </c>
      <c r="J59" s="3">
        <f>E59*F59*G59*H59</f>
        <v/>
      </c>
      <c r="K59" s="3">
        <f>E59*F59*G59*I59</f>
        <v/>
      </c>
    </row>
    <row r="60">
      <c r="A60" s="2" t="inlineStr">
        <is>
          <t>攻击百分比</t>
        </is>
      </c>
      <c r="B60" s="2" t="inlineStr">
        <is>
          <t>百分比</t>
        </is>
      </c>
      <c r="C60" s="2" t="inlineStr">
        <is>
          <t>红</t>
        </is>
      </c>
      <c r="D60" s="2" t="n">
        <v>55</v>
      </c>
      <c r="E60" s="3">
        <f>INDEX('05_副属性基础'!$C$2:$C$11,MATCH(A60,'05_副属性基础'!$A$2:$A$11,0))</f>
        <v/>
      </c>
      <c r="F60" s="3">
        <f>INDEX('02_品质等级'!$D$2:$D$6,MATCH(C60,'02_品质等级'!$A$2:$A$6,0))</f>
        <v/>
      </c>
      <c r="G60" s="3">
        <f>INDEX('05_副属性基础'!$H$2:$H$13,MATCH(D60,'05_副属性基础'!$G$2:$G$13,0))</f>
        <v/>
      </c>
      <c r="H60" s="3">
        <f>INDEX('02_品质等级'!$G$2:$G$6,MATCH(C60,'02_品质等级'!$A$2:$A$6,0))</f>
        <v/>
      </c>
      <c r="I60" s="3">
        <f>INDEX('02_品质等级'!$H$2:$H$6,MATCH(C60,'02_品质等级'!$A$2:$A$6,0))</f>
        <v/>
      </c>
      <c r="J60" s="3">
        <f>E60*F60*G60*H60</f>
        <v/>
      </c>
      <c r="K60" s="3">
        <f>E60*F60*G60*I60</f>
        <v/>
      </c>
    </row>
    <row r="61">
      <c r="A61" s="2" t="inlineStr">
        <is>
          <t>攻击百分比</t>
        </is>
      </c>
      <c r="B61" s="2" t="inlineStr">
        <is>
          <t>百分比</t>
        </is>
      </c>
      <c r="C61" s="2" t="inlineStr">
        <is>
          <t>红</t>
        </is>
      </c>
      <c r="D61" s="2" t="n">
        <v>60</v>
      </c>
      <c r="E61" s="3">
        <f>INDEX('05_副属性基础'!$C$2:$C$11,MATCH(A61,'05_副属性基础'!$A$2:$A$11,0))</f>
        <v/>
      </c>
      <c r="F61" s="3">
        <f>INDEX('02_品质等级'!$D$2:$D$6,MATCH(C61,'02_品质等级'!$A$2:$A$6,0))</f>
        <v/>
      </c>
      <c r="G61" s="3">
        <f>INDEX('05_副属性基础'!$H$2:$H$13,MATCH(D61,'05_副属性基础'!$G$2:$G$13,0))</f>
        <v/>
      </c>
      <c r="H61" s="3">
        <f>INDEX('02_品质等级'!$G$2:$G$6,MATCH(C61,'02_品质等级'!$A$2:$A$6,0))</f>
        <v/>
      </c>
      <c r="I61" s="3">
        <f>INDEX('02_品质等级'!$H$2:$H$6,MATCH(C61,'02_品质等级'!$A$2:$A$6,0))</f>
        <v/>
      </c>
      <c r="J61" s="3">
        <f>E61*F61*G61*H61</f>
        <v/>
      </c>
      <c r="K61" s="3">
        <f>E61*F61*G61*I61</f>
        <v/>
      </c>
    </row>
    <row r="62">
      <c r="A62" s="2" t="inlineStr">
        <is>
          <t>防御百分比</t>
        </is>
      </c>
      <c r="B62" s="2" t="inlineStr">
        <is>
          <t>百分比</t>
        </is>
      </c>
      <c r="C62" s="2" t="inlineStr">
        <is>
          <t>绿</t>
        </is>
      </c>
      <c r="D62" s="2" t="n">
        <v>5</v>
      </c>
      <c r="E62" s="3">
        <f>INDEX('05_副属性基础'!$C$2:$C$11,MATCH(A62,'05_副属性基础'!$A$2:$A$11,0))</f>
        <v/>
      </c>
      <c r="F62" s="3">
        <f>INDEX('02_品质等级'!$D$2:$D$6,MATCH(C62,'02_品质等级'!$A$2:$A$6,0))</f>
        <v/>
      </c>
      <c r="G62" s="3">
        <f>INDEX('05_副属性基础'!$H$2:$H$13,MATCH(D62,'05_副属性基础'!$G$2:$G$13,0))</f>
        <v/>
      </c>
      <c r="H62" s="3">
        <f>INDEX('02_品质等级'!$G$2:$G$6,MATCH(C62,'02_品质等级'!$A$2:$A$6,0))</f>
        <v/>
      </c>
      <c r="I62" s="3">
        <f>INDEX('02_品质等级'!$H$2:$H$6,MATCH(C62,'02_品质等级'!$A$2:$A$6,0))</f>
        <v/>
      </c>
      <c r="J62" s="3">
        <f>E62*F62*G62*H62</f>
        <v/>
      </c>
      <c r="K62" s="3">
        <f>E62*F62*G62*I62</f>
        <v/>
      </c>
    </row>
    <row r="63">
      <c r="A63" s="2" t="inlineStr">
        <is>
          <t>防御百分比</t>
        </is>
      </c>
      <c r="B63" s="2" t="inlineStr">
        <is>
          <t>百分比</t>
        </is>
      </c>
      <c r="C63" s="2" t="inlineStr">
        <is>
          <t>绿</t>
        </is>
      </c>
      <c r="D63" s="2" t="n">
        <v>10</v>
      </c>
      <c r="E63" s="3">
        <f>INDEX('05_副属性基础'!$C$2:$C$11,MATCH(A63,'05_副属性基础'!$A$2:$A$11,0))</f>
        <v/>
      </c>
      <c r="F63" s="3">
        <f>INDEX('02_品质等级'!$D$2:$D$6,MATCH(C63,'02_品质等级'!$A$2:$A$6,0))</f>
        <v/>
      </c>
      <c r="G63" s="3">
        <f>INDEX('05_副属性基础'!$H$2:$H$13,MATCH(D63,'05_副属性基础'!$G$2:$G$13,0))</f>
        <v/>
      </c>
      <c r="H63" s="3">
        <f>INDEX('02_品质等级'!$G$2:$G$6,MATCH(C63,'02_品质等级'!$A$2:$A$6,0))</f>
        <v/>
      </c>
      <c r="I63" s="3">
        <f>INDEX('02_品质等级'!$H$2:$H$6,MATCH(C63,'02_品质等级'!$A$2:$A$6,0))</f>
        <v/>
      </c>
      <c r="J63" s="3">
        <f>E63*F63*G63*H63</f>
        <v/>
      </c>
      <c r="K63" s="3">
        <f>E63*F63*G63*I63</f>
        <v/>
      </c>
    </row>
    <row r="64">
      <c r="A64" s="2" t="inlineStr">
        <is>
          <t>防御百分比</t>
        </is>
      </c>
      <c r="B64" s="2" t="inlineStr">
        <is>
          <t>百分比</t>
        </is>
      </c>
      <c r="C64" s="2" t="inlineStr">
        <is>
          <t>绿</t>
        </is>
      </c>
      <c r="D64" s="2" t="n">
        <v>15</v>
      </c>
      <c r="E64" s="3">
        <f>INDEX('05_副属性基础'!$C$2:$C$11,MATCH(A64,'05_副属性基础'!$A$2:$A$11,0))</f>
        <v/>
      </c>
      <c r="F64" s="3">
        <f>INDEX('02_品质等级'!$D$2:$D$6,MATCH(C64,'02_品质等级'!$A$2:$A$6,0))</f>
        <v/>
      </c>
      <c r="G64" s="3">
        <f>INDEX('05_副属性基础'!$H$2:$H$13,MATCH(D64,'05_副属性基础'!$G$2:$G$13,0))</f>
        <v/>
      </c>
      <c r="H64" s="3">
        <f>INDEX('02_品质等级'!$G$2:$G$6,MATCH(C64,'02_品质等级'!$A$2:$A$6,0))</f>
        <v/>
      </c>
      <c r="I64" s="3">
        <f>INDEX('02_品质等级'!$H$2:$H$6,MATCH(C64,'02_品质等级'!$A$2:$A$6,0))</f>
        <v/>
      </c>
      <c r="J64" s="3">
        <f>E64*F64*G64*H64</f>
        <v/>
      </c>
      <c r="K64" s="3">
        <f>E64*F64*G64*I64</f>
        <v/>
      </c>
    </row>
    <row r="65">
      <c r="A65" s="2" t="inlineStr">
        <is>
          <t>防御百分比</t>
        </is>
      </c>
      <c r="B65" s="2" t="inlineStr">
        <is>
          <t>百分比</t>
        </is>
      </c>
      <c r="C65" s="2" t="inlineStr">
        <is>
          <t>绿</t>
        </is>
      </c>
      <c r="D65" s="2" t="n">
        <v>20</v>
      </c>
      <c r="E65" s="3">
        <f>INDEX('05_副属性基础'!$C$2:$C$11,MATCH(A65,'05_副属性基础'!$A$2:$A$11,0))</f>
        <v/>
      </c>
      <c r="F65" s="3">
        <f>INDEX('02_品质等级'!$D$2:$D$6,MATCH(C65,'02_品质等级'!$A$2:$A$6,0))</f>
        <v/>
      </c>
      <c r="G65" s="3">
        <f>INDEX('05_副属性基础'!$H$2:$H$13,MATCH(D65,'05_副属性基础'!$G$2:$G$13,0))</f>
        <v/>
      </c>
      <c r="H65" s="3">
        <f>INDEX('02_品质等级'!$G$2:$G$6,MATCH(C65,'02_品质等级'!$A$2:$A$6,0))</f>
        <v/>
      </c>
      <c r="I65" s="3">
        <f>INDEX('02_品质等级'!$H$2:$H$6,MATCH(C65,'02_品质等级'!$A$2:$A$6,0))</f>
        <v/>
      </c>
      <c r="J65" s="3">
        <f>E65*F65*G65*H65</f>
        <v/>
      </c>
      <c r="K65" s="3">
        <f>E65*F65*G65*I65</f>
        <v/>
      </c>
    </row>
    <row r="66">
      <c r="A66" s="2" t="inlineStr">
        <is>
          <t>防御百分比</t>
        </is>
      </c>
      <c r="B66" s="2" t="inlineStr">
        <is>
          <t>百分比</t>
        </is>
      </c>
      <c r="C66" s="2" t="inlineStr">
        <is>
          <t>绿</t>
        </is>
      </c>
      <c r="D66" s="2" t="n">
        <v>25</v>
      </c>
      <c r="E66" s="3">
        <f>INDEX('05_副属性基础'!$C$2:$C$11,MATCH(A66,'05_副属性基础'!$A$2:$A$11,0))</f>
        <v/>
      </c>
      <c r="F66" s="3">
        <f>INDEX('02_品质等级'!$D$2:$D$6,MATCH(C66,'02_品质等级'!$A$2:$A$6,0))</f>
        <v/>
      </c>
      <c r="G66" s="3">
        <f>INDEX('05_副属性基础'!$H$2:$H$13,MATCH(D66,'05_副属性基础'!$G$2:$G$13,0))</f>
        <v/>
      </c>
      <c r="H66" s="3">
        <f>INDEX('02_品质等级'!$G$2:$G$6,MATCH(C66,'02_品质等级'!$A$2:$A$6,0))</f>
        <v/>
      </c>
      <c r="I66" s="3">
        <f>INDEX('02_品质等级'!$H$2:$H$6,MATCH(C66,'02_品质等级'!$A$2:$A$6,0))</f>
        <v/>
      </c>
      <c r="J66" s="3">
        <f>E66*F66*G66*H66</f>
        <v/>
      </c>
      <c r="K66" s="3">
        <f>E66*F66*G66*I66</f>
        <v/>
      </c>
    </row>
    <row r="67">
      <c r="A67" s="2" t="inlineStr">
        <is>
          <t>防御百分比</t>
        </is>
      </c>
      <c r="B67" s="2" t="inlineStr">
        <is>
          <t>百分比</t>
        </is>
      </c>
      <c r="C67" s="2" t="inlineStr">
        <is>
          <t>绿</t>
        </is>
      </c>
      <c r="D67" s="2" t="n">
        <v>30</v>
      </c>
      <c r="E67" s="3">
        <f>INDEX('05_副属性基础'!$C$2:$C$11,MATCH(A67,'05_副属性基础'!$A$2:$A$11,0))</f>
        <v/>
      </c>
      <c r="F67" s="3">
        <f>INDEX('02_品质等级'!$D$2:$D$6,MATCH(C67,'02_品质等级'!$A$2:$A$6,0))</f>
        <v/>
      </c>
      <c r="G67" s="3">
        <f>INDEX('05_副属性基础'!$H$2:$H$13,MATCH(D67,'05_副属性基础'!$G$2:$G$13,0))</f>
        <v/>
      </c>
      <c r="H67" s="3">
        <f>INDEX('02_品质等级'!$G$2:$G$6,MATCH(C67,'02_品质等级'!$A$2:$A$6,0))</f>
        <v/>
      </c>
      <c r="I67" s="3">
        <f>INDEX('02_品质等级'!$H$2:$H$6,MATCH(C67,'02_品质等级'!$A$2:$A$6,0))</f>
        <v/>
      </c>
      <c r="J67" s="3">
        <f>E67*F67*G67*H67</f>
        <v/>
      </c>
      <c r="K67" s="3">
        <f>E67*F67*G67*I67</f>
        <v/>
      </c>
    </row>
    <row r="68">
      <c r="A68" s="2" t="inlineStr">
        <is>
          <t>防御百分比</t>
        </is>
      </c>
      <c r="B68" s="2" t="inlineStr">
        <is>
          <t>百分比</t>
        </is>
      </c>
      <c r="C68" s="2" t="inlineStr">
        <is>
          <t>绿</t>
        </is>
      </c>
      <c r="D68" s="2" t="n">
        <v>35</v>
      </c>
      <c r="E68" s="3">
        <f>INDEX('05_副属性基础'!$C$2:$C$11,MATCH(A68,'05_副属性基础'!$A$2:$A$11,0))</f>
        <v/>
      </c>
      <c r="F68" s="3">
        <f>INDEX('02_品质等级'!$D$2:$D$6,MATCH(C68,'02_品质等级'!$A$2:$A$6,0))</f>
        <v/>
      </c>
      <c r="G68" s="3">
        <f>INDEX('05_副属性基础'!$H$2:$H$13,MATCH(D68,'05_副属性基础'!$G$2:$G$13,0))</f>
        <v/>
      </c>
      <c r="H68" s="3">
        <f>INDEX('02_品质等级'!$G$2:$G$6,MATCH(C68,'02_品质等级'!$A$2:$A$6,0))</f>
        <v/>
      </c>
      <c r="I68" s="3">
        <f>INDEX('02_品质等级'!$H$2:$H$6,MATCH(C68,'02_品质等级'!$A$2:$A$6,0))</f>
        <v/>
      </c>
      <c r="J68" s="3">
        <f>E68*F68*G68*H68</f>
        <v/>
      </c>
      <c r="K68" s="3">
        <f>E68*F68*G68*I68</f>
        <v/>
      </c>
    </row>
    <row r="69">
      <c r="A69" s="2" t="inlineStr">
        <is>
          <t>防御百分比</t>
        </is>
      </c>
      <c r="B69" s="2" t="inlineStr">
        <is>
          <t>百分比</t>
        </is>
      </c>
      <c r="C69" s="2" t="inlineStr">
        <is>
          <t>绿</t>
        </is>
      </c>
      <c r="D69" s="2" t="n">
        <v>40</v>
      </c>
      <c r="E69" s="3">
        <f>INDEX('05_副属性基础'!$C$2:$C$11,MATCH(A69,'05_副属性基础'!$A$2:$A$11,0))</f>
        <v/>
      </c>
      <c r="F69" s="3">
        <f>INDEX('02_品质等级'!$D$2:$D$6,MATCH(C69,'02_品质等级'!$A$2:$A$6,0))</f>
        <v/>
      </c>
      <c r="G69" s="3">
        <f>INDEX('05_副属性基础'!$H$2:$H$13,MATCH(D69,'05_副属性基础'!$G$2:$G$13,0))</f>
        <v/>
      </c>
      <c r="H69" s="3">
        <f>INDEX('02_品质等级'!$G$2:$G$6,MATCH(C69,'02_品质等级'!$A$2:$A$6,0))</f>
        <v/>
      </c>
      <c r="I69" s="3">
        <f>INDEX('02_品质等级'!$H$2:$H$6,MATCH(C69,'02_品质等级'!$A$2:$A$6,0))</f>
        <v/>
      </c>
      <c r="J69" s="3">
        <f>E69*F69*G69*H69</f>
        <v/>
      </c>
      <c r="K69" s="3">
        <f>E69*F69*G69*I69</f>
        <v/>
      </c>
    </row>
    <row r="70">
      <c r="A70" s="2" t="inlineStr">
        <is>
          <t>防御百分比</t>
        </is>
      </c>
      <c r="B70" s="2" t="inlineStr">
        <is>
          <t>百分比</t>
        </is>
      </c>
      <c r="C70" s="2" t="inlineStr">
        <is>
          <t>绿</t>
        </is>
      </c>
      <c r="D70" s="2" t="n">
        <v>45</v>
      </c>
      <c r="E70" s="3">
        <f>INDEX('05_副属性基础'!$C$2:$C$11,MATCH(A70,'05_副属性基础'!$A$2:$A$11,0))</f>
        <v/>
      </c>
      <c r="F70" s="3">
        <f>INDEX('02_品质等级'!$D$2:$D$6,MATCH(C70,'02_品质等级'!$A$2:$A$6,0))</f>
        <v/>
      </c>
      <c r="G70" s="3">
        <f>INDEX('05_副属性基础'!$H$2:$H$13,MATCH(D70,'05_副属性基础'!$G$2:$G$13,0))</f>
        <v/>
      </c>
      <c r="H70" s="3">
        <f>INDEX('02_品质等级'!$G$2:$G$6,MATCH(C70,'02_品质等级'!$A$2:$A$6,0))</f>
        <v/>
      </c>
      <c r="I70" s="3">
        <f>INDEX('02_品质等级'!$H$2:$H$6,MATCH(C70,'02_品质等级'!$A$2:$A$6,0))</f>
        <v/>
      </c>
      <c r="J70" s="3">
        <f>E70*F70*G70*H70</f>
        <v/>
      </c>
      <c r="K70" s="3">
        <f>E70*F70*G70*I70</f>
        <v/>
      </c>
    </row>
    <row r="71">
      <c r="A71" s="2" t="inlineStr">
        <is>
          <t>防御百分比</t>
        </is>
      </c>
      <c r="B71" s="2" t="inlineStr">
        <is>
          <t>百分比</t>
        </is>
      </c>
      <c r="C71" s="2" t="inlineStr">
        <is>
          <t>绿</t>
        </is>
      </c>
      <c r="D71" s="2" t="n">
        <v>50</v>
      </c>
      <c r="E71" s="3">
        <f>INDEX('05_副属性基础'!$C$2:$C$11,MATCH(A71,'05_副属性基础'!$A$2:$A$11,0))</f>
        <v/>
      </c>
      <c r="F71" s="3">
        <f>INDEX('02_品质等级'!$D$2:$D$6,MATCH(C71,'02_品质等级'!$A$2:$A$6,0))</f>
        <v/>
      </c>
      <c r="G71" s="3">
        <f>INDEX('05_副属性基础'!$H$2:$H$13,MATCH(D71,'05_副属性基础'!$G$2:$G$13,0))</f>
        <v/>
      </c>
      <c r="H71" s="3">
        <f>INDEX('02_品质等级'!$G$2:$G$6,MATCH(C71,'02_品质等级'!$A$2:$A$6,0))</f>
        <v/>
      </c>
      <c r="I71" s="3">
        <f>INDEX('02_品质等级'!$H$2:$H$6,MATCH(C71,'02_品质等级'!$A$2:$A$6,0))</f>
        <v/>
      </c>
      <c r="J71" s="3">
        <f>E71*F71*G71*H71</f>
        <v/>
      </c>
      <c r="K71" s="3">
        <f>E71*F71*G71*I71</f>
        <v/>
      </c>
    </row>
    <row r="72">
      <c r="A72" s="2" t="inlineStr">
        <is>
          <t>防御百分比</t>
        </is>
      </c>
      <c r="B72" s="2" t="inlineStr">
        <is>
          <t>百分比</t>
        </is>
      </c>
      <c r="C72" s="2" t="inlineStr">
        <is>
          <t>绿</t>
        </is>
      </c>
      <c r="D72" s="2" t="n">
        <v>55</v>
      </c>
      <c r="E72" s="3">
        <f>INDEX('05_副属性基础'!$C$2:$C$11,MATCH(A72,'05_副属性基础'!$A$2:$A$11,0))</f>
        <v/>
      </c>
      <c r="F72" s="3">
        <f>INDEX('02_品质等级'!$D$2:$D$6,MATCH(C72,'02_品质等级'!$A$2:$A$6,0))</f>
        <v/>
      </c>
      <c r="G72" s="3">
        <f>INDEX('05_副属性基础'!$H$2:$H$13,MATCH(D72,'05_副属性基础'!$G$2:$G$13,0))</f>
        <v/>
      </c>
      <c r="H72" s="3">
        <f>INDEX('02_品质等级'!$G$2:$G$6,MATCH(C72,'02_品质等级'!$A$2:$A$6,0))</f>
        <v/>
      </c>
      <c r="I72" s="3">
        <f>INDEX('02_品质等级'!$H$2:$H$6,MATCH(C72,'02_品质等级'!$A$2:$A$6,0))</f>
        <v/>
      </c>
      <c r="J72" s="3">
        <f>E72*F72*G72*H72</f>
        <v/>
      </c>
      <c r="K72" s="3">
        <f>E72*F72*G72*I72</f>
        <v/>
      </c>
    </row>
    <row r="73">
      <c r="A73" s="2" t="inlineStr">
        <is>
          <t>防御百分比</t>
        </is>
      </c>
      <c r="B73" s="2" t="inlineStr">
        <is>
          <t>百分比</t>
        </is>
      </c>
      <c r="C73" s="2" t="inlineStr">
        <is>
          <t>绿</t>
        </is>
      </c>
      <c r="D73" s="2" t="n">
        <v>60</v>
      </c>
      <c r="E73" s="3">
        <f>INDEX('05_副属性基础'!$C$2:$C$11,MATCH(A73,'05_副属性基础'!$A$2:$A$11,0))</f>
        <v/>
      </c>
      <c r="F73" s="3">
        <f>INDEX('02_品质等级'!$D$2:$D$6,MATCH(C73,'02_品质等级'!$A$2:$A$6,0))</f>
        <v/>
      </c>
      <c r="G73" s="3">
        <f>INDEX('05_副属性基础'!$H$2:$H$13,MATCH(D73,'05_副属性基础'!$G$2:$G$13,0))</f>
        <v/>
      </c>
      <c r="H73" s="3">
        <f>INDEX('02_品质等级'!$G$2:$G$6,MATCH(C73,'02_品质等级'!$A$2:$A$6,0))</f>
        <v/>
      </c>
      <c r="I73" s="3">
        <f>INDEX('02_品质等级'!$H$2:$H$6,MATCH(C73,'02_品质等级'!$A$2:$A$6,0))</f>
        <v/>
      </c>
      <c r="J73" s="3">
        <f>E73*F73*G73*H73</f>
        <v/>
      </c>
      <c r="K73" s="3">
        <f>E73*F73*G73*I73</f>
        <v/>
      </c>
    </row>
    <row r="74">
      <c r="A74" s="2" t="inlineStr">
        <is>
          <t>防御百分比</t>
        </is>
      </c>
      <c r="B74" s="2" t="inlineStr">
        <is>
          <t>百分比</t>
        </is>
      </c>
      <c r="C74" s="2" t="inlineStr">
        <is>
          <t>蓝</t>
        </is>
      </c>
      <c r="D74" s="2" t="n">
        <v>5</v>
      </c>
      <c r="E74" s="3">
        <f>INDEX('05_副属性基础'!$C$2:$C$11,MATCH(A74,'05_副属性基础'!$A$2:$A$11,0))</f>
        <v/>
      </c>
      <c r="F74" s="3">
        <f>INDEX('02_品质等级'!$D$2:$D$6,MATCH(C74,'02_品质等级'!$A$2:$A$6,0))</f>
        <v/>
      </c>
      <c r="G74" s="3">
        <f>INDEX('05_副属性基础'!$H$2:$H$13,MATCH(D74,'05_副属性基础'!$G$2:$G$13,0))</f>
        <v/>
      </c>
      <c r="H74" s="3">
        <f>INDEX('02_品质等级'!$G$2:$G$6,MATCH(C74,'02_品质等级'!$A$2:$A$6,0))</f>
        <v/>
      </c>
      <c r="I74" s="3">
        <f>INDEX('02_品质等级'!$H$2:$H$6,MATCH(C74,'02_品质等级'!$A$2:$A$6,0))</f>
        <v/>
      </c>
      <c r="J74" s="3">
        <f>E74*F74*G74*H74</f>
        <v/>
      </c>
      <c r="K74" s="3">
        <f>E74*F74*G74*I74</f>
        <v/>
      </c>
    </row>
    <row r="75">
      <c r="A75" s="2" t="inlineStr">
        <is>
          <t>防御百分比</t>
        </is>
      </c>
      <c r="B75" s="2" t="inlineStr">
        <is>
          <t>百分比</t>
        </is>
      </c>
      <c r="C75" s="2" t="inlineStr">
        <is>
          <t>蓝</t>
        </is>
      </c>
      <c r="D75" s="2" t="n">
        <v>10</v>
      </c>
      <c r="E75" s="3">
        <f>INDEX('05_副属性基础'!$C$2:$C$11,MATCH(A75,'05_副属性基础'!$A$2:$A$11,0))</f>
        <v/>
      </c>
      <c r="F75" s="3">
        <f>INDEX('02_品质等级'!$D$2:$D$6,MATCH(C75,'02_品质等级'!$A$2:$A$6,0))</f>
        <v/>
      </c>
      <c r="G75" s="3">
        <f>INDEX('05_副属性基础'!$H$2:$H$13,MATCH(D75,'05_副属性基础'!$G$2:$G$13,0))</f>
        <v/>
      </c>
      <c r="H75" s="3">
        <f>INDEX('02_品质等级'!$G$2:$G$6,MATCH(C75,'02_品质等级'!$A$2:$A$6,0))</f>
        <v/>
      </c>
      <c r="I75" s="3">
        <f>INDEX('02_品质等级'!$H$2:$H$6,MATCH(C75,'02_品质等级'!$A$2:$A$6,0))</f>
        <v/>
      </c>
      <c r="J75" s="3">
        <f>E75*F75*G75*H75</f>
        <v/>
      </c>
      <c r="K75" s="3">
        <f>E75*F75*G75*I75</f>
        <v/>
      </c>
    </row>
    <row r="76">
      <c r="A76" s="2" t="inlineStr">
        <is>
          <t>防御百分比</t>
        </is>
      </c>
      <c r="B76" s="2" t="inlineStr">
        <is>
          <t>百分比</t>
        </is>
      </c>
      <c r="C76" s="2" t="inlineStr">
        <is>
          <t>蓝</t>
        </is>
      </c>
      <c r="D76" s="2" t="n">
        <v>15</v>
      </c>
      <c r="E76" s="3">
        <f>INDEX('05_副属性基础'!$C$2:$C$11,MATCH(A76,'05_副属性基础'!$A$2:$A$11,0))</f>
        <v/>
      </c>
      <c r="F76" s="3">
        <f>INDEX('02_品质等级'!$D$2:$D$6,MATCH(C76,'02_品质等级'!$A$2:$A$6,0))</f>
        <v/>
      </c>
      <c r="G76" s="3">
        <f>INDEX('05_副属性基础'!$H$2:$H$13,MATCH(D76,'05_副属性基础'!$G$2:$G$13,0))</f>
        <v/>
      </c>
      <c r="H76" s="3">
        <f>INDEX('02_品质等级'!$G$2:$G$6,MATCH(C76,'02_品质等级'!$A$2:$A$6,0))</f>
        <v/>
      </c>
      <c r="I76" s="3">
        <f>INDEX('02_品质等级'!$H$2:$H$6,MATCH(C76,'02_品质等级'!$A$2:$A$6,0))</f>
        <v/>
      </c>
      <c r="J76" s="3">
        <f>E76*F76*G76*H76</f>
        <v/>
      </c>
      <c r="K76" s="3">
        <f>E76*F76*G76*I76</f>
        <v/>
      </c>
    </row>
    <row r="77">
      <c r="A77" s="2" t="inlineStr">
        <is>
          <t>防御百分比</t>
        </is>
      </c>
      <c r="B77" s="2" t="inlineStr">
        <is>
          <t>百分比</t>
        </is>
      </c>
      <c r="C77" s="2" t="inlineStr">
        <is>
          <t>蓝</t>
        </is>
      </c>
      <c r="D77" s="2" t="n">
        <v>20</v>
      </c>
      <c r="E77" s="3">
        <f>INDEX('05_副属性基础'!$C$2:$C$11,MATCH(A77,'05_副属性基础'!$A$2:$A$11,0))</f>
        <v/>
      </c>
      <c r="F77" s="3">
        <f>INDEX('02_品质等级'!$D$2:$D$6,MATCH(C77,'02_品质等级'!$A$2:$A$6,0))</f>
        <v/>
      </c>
      <c r="G77" s="3">
        <f>INDEX('05_副属性基础'!$H$2:$H$13,MATCH(D77,'05_副属性基础'!$G$2:$G$13,0))</f>
        <v/>
      </c>
      <c r="H77" s="3">
        <f>INDEX('02_品质等级'!$G$2:$G$6,MATCH(C77,'02_品质等级'!$A$2:$A$6,0))</f>
        <v/>
      </c>
      <c r="I77" s="3">
        <f>INDEX('02_品质等级'!$H$2:$H$6,MATCH(C77,'02_品质等级'!$A$2:$A$6,0))</f>
        <v/>
      </c>
      <c r="J77" s="3">
        <f>E77*F77*G77*H77</f>
        <v/>
      </c>
      <c r="K77" s="3">
        <f>E77*F77*G77*I77</f>
        <v/>
      </c>
    </row>
    <row r="78">
      <c r="A78" s="2" t="inlineStr">
        <is>
          <t>防御百分比</t>
        </is>
      </c>
      <c r="B78" s="2" t="inlineStr">
        <is>
          <t>百分比</t>
        </is>
      </c>
      <c r="C78" s="2" t="inlineStr">
        <is>
          <t>蓝</t>
        </is>
      </c>
      <c r="D78" s="2" t="n">
        <v>25</v>
      </c>
      <c r="E78" s="3">
        <f>INDEX('05_副属性基础'!$C$2:$C$11,MATCH(A78,'05_副属性基础'!$A$2:$A$11,0))</f>
        <v/>
      </c>
      <c r="F78" s="3">
        <f>INDEX('02_品质等级'!$D$2:$D$6,MATCH(C78,'02_品质等级'!$A$2:$A$6,0))</f>
        <v/>
      </c>
      <c r="G78" s="3">
        <f>INDEX('05_副属性基础'!$H$2:$H$13,MATCH(D78,'05_副属性基础'!$G$2:$G$13,0))</f>
        <v/>
      </c>
      <c r="H78" s="3">
        <f>INDEX('02_品质等级'!$G$2:$G$6,MATCH(C78,'02_品质等级'!$A$2:$A$6,0))</f>
        <v/>
      </c>
      <c r="I78" s="3">
        <f>INDEX('02_品质等级'!$H$2:$H$6,MATCH(C78,'02_品质等级'!$A$2:$A$6,0))</f>
        <v/>
      </c>
      <c r="J78" s="3">
        <f>E78*F78*G78*H78</f>
        <v/>
      </c>
      <c r="K78" s="3">
        <f>E78*F78*G78*I78</f>
        <v/>
      </c>
    </row>
    <row r="79">
      <c r="A79" s="2" t="inlineStr">
        <is>
          <t>防御百分比</t>
        </is>
      </c>
      <c r="B79" s="2" t="inlineStr">
        <is>
          <t>百分比</t>
        </is>
      </c>
      <c r="C79" s="2" t="inlineStr">
        <is>
          <t>蓝</t>
        </is>
      </c>
      <c r="D79" s="2" t="n">
        <v>30</v>
      </c>
      <c r="E79" s="3">
        <f>INDEX('05_副属性基础'!$C$2:$C$11,MATCH(A79,'05_副属性基础'!$A$2:$A$11,0))</f>
        <v/>
      </c>
      <c r="F79" s="3">
        <f>INDEX('02_品质等级'!$D$2:$D$6,MATCH(C79,'02_品质等级'!$A$2:$A$6,0))</f>
        <v/>
      </c>
      <c r="G79" s="3">
        <f>INDEX('05_副属性基础'!$H$2:$H$13,MATCH(D79,'05_副属性基础'!$G$2:$G$13,0))</f>
        <v/>
      </c>
      <c r="H79" s="3">
        <f>INDEX('02_品质等级'!$G$2:$G$6,MATCH(C79,'02_品质等级'!$A$2:$A$6,0))</f>
        <v/>
      </c>
      <c r="I79" s="3">
        <f>INDEX('02_品质等级'!$H$2:$H$6,MATCH(C79,'02_品质等级'!$A$2:$A$6,0))</f>
        <v/>
      </c>
      <c r="J79" s="3">
        <f>E79*F79*G79*H79</f>
        <v/>
      </c>
      <c r="K79" s="3">
        <f>E79*F79*G79*I79</f>
        <v/>
      </c>
    </row>
    <row r="80">
      <c r="A80" s="2" t="inlineStr">
        <is>
          <t>防御百分比</t>
        </is>
      </c>
      <c r="B80" s="2" t="inlineStr">
        <is>
          <t>百分比</t>
        </is>
      </c>
      <c r="C80" s="2" t="inlineStr">
        <is>
          <t>蓝</t>
        </is>
      </c>
      <c r="D80" s="2" t="n">
        <v>35</v>
      </c>
      <c r="E80" s="3">
        <f>INDEX('05_副属性基础'!$C$2:$C$11,MATCH(A80,'05_副属性基础'!$A$2:$A$11,0))</f>
        <v/>
      </c>
      <c r="F80" s="3">
        <f>INDEX('02_品质等级'!$D$2:$D$6,MATCH(C80,'02_品质等级'!$A$2:$A$6,0))</f>
        <v/>
      </c>
      <c r="G80" s="3">
        <f>INDEX('05_副属性基础'!$H$2:$H$13,MATCH(D80,'05_副属性基础'!$G$2:$G$13,0))</f>
        <v/>
      </c>
      <c r="H80" s="3">
        <f>INDEX('02_品质等级'!$G$2:$G$6,MATCH(C80,'02_品质等级'!$A$2:$A$6,0))</f>
        <v/>
      </c>
      <c r="I80" s="3">
        <f>INDEX('02_品质等级'!$H$2:$H$6,MATCH(C80,'02_品质等级'!$A$2:$A$6,0))</f>
        <v/>
      </c>
      <c r="J80" s="3">
        <f>E80*F80*G80*H80</f>
        <v/>
      </c>
      <c r="K80" s="3">
        <f>E80*F80*G80*I80</f>
        <v/>
      </c>
    </row>
    <row r="81">
      <c r="A81" s="2" t="inlineStr">
        <is>
          <t>防御百分比</t>
        </is>
      </c>
      <c r="B81" s="2" t="inlineStr">
        <is>
          <t>百分比</t>
        </is>
      </c>
      <c r="C81" s="2" t="inlineStr">
        <is>
          <t>蓝</t>
        </is>
      </c>
      <c r="D81" s="2" t="n">
        <v>40</v>
      </c>
      <c r="E81" s="3">
        <f>INDEX('05_副属性基础'!$C$2:$C$11,MATCH(A81,'05_副属性基础'!$A$2:$A$11,0))</f>
        <v/>
      </c>
      <c r="F81" s="3">
        <f>INDEX('02_品质等级'!$D$2:$D$6,MATCH(C81,'02_品质等级'!$A$2:$A$6,0))</f>
        <v/>
      </c>
      <c r="G81" s="3">
        <f>INDEX('05_副属性基础'!$H$2:$H$13,MATCH(D81,'05_副属性基础'!$G$2:$G$13,0))</f>
        <v/>
      </c>
      <c r="H81" s="3">
        <f>INDEX('02_品质等级'!$G$2:$G$6,MATCH(C81,'02_品质等级'!$A$2:$A$6,0))</f>
        <v/>
      </c>
      <c r="I81" s="3">
        <f>INDEX('02_品质等级'!$H$2:$H$6,MATCH(C81,'02_品质等级'!$A$2:$A$6,0))</f>
        <v/>
      </c>
      <c r="J81" s="3">
        <f>E81*F81*G81*H81</f>
        <v/>
      </c>
      <c r="K81" s="3">
        <f>E81*F81*G81*I81</f>
        <v/>
      </c>
    </row>
    <row r="82">
      <c r="A82" s="2" t="inlineStr">
        <is>
          <t>防御百分比</t>
        </is>
      </c>
      <c r="B82" s="2" t="inlineStr">
        <is>
          <t>百分比</t>
        </is>
      </c>
      <c r="C82" s="2" t="inlineStr">
        <is>
          <t>蓝</t>
        </is>
      </c>
      <c r="D82" s="2" t="n">
        <v>45</v>
      </c>
      <c r="E82" s="3">
        <f>INDEX('05_副属性基础'!$C$2:$C$11,MATCH(A82,'05_副属性基础'!$A$2:$A$11,0))</f>
        <v/>
      </c>
      <c r="F82" s="3">
        <f>INDEX('02_品质等级'!$D$2:$D$6,MATCH(C82,'02_品质等级'!$A$2:$A$6,0))</f>
        <v/>
      </c>
      <c r="G82" s="3">
        <f>INDEX('05_副属性基础'!$H$2:$H$13,MATCH(D82,'05_副属性基础'!$G$2:$G$13,0))</f>
        <v/>
      </c>
      <c r="H82" s="3">
        <f>INDEX('02_品质等级'!$G$2:$G$6,MATCH(C82,'02_品质等级'!$A$2:$A$6,0))</f>
        <v/>
      </c>
      <c r="I82" s="3">
        <f>INDEX('02_品质等级'!$H$2:$H$6,MATCH(C82,'02_品质等级'!$A$2:$A$6,0))</f>
        <v/>
      </c>
      <c r="J82" s="3">
        <f>E82*F82*G82*H82</f>
        <v/>
      </c>
      <c r="K82" s="3">
        <f>E82*F82*G82*I82</f>
        <v/>
      </c>
    </row>
    <row r="83">
      <c r="A83" s="2" t="inlineStr">
        <is>
          <t>防御百分比</t>
        </is>
      </c>
      <c r="B83" s="2" t="inlineStr">
        <is>
          <t>百分比</t>
        </is>
      </c>
      <c r="C83" s="2" t="inlineStr">
        <is>
          <t>蓝</t>
        </is>
      </c>
      <c r="D83" s="2" t="n">
        <v>50</v>
      </c>
      <c r="E83" s="3">
        <f>INDEX('05_副属性基础'!$C$2:$C$11,MATCH(A83,'05_副属性基础'!$A$2:$A$11,0))</f>
        <v/>
      </c>
      <c r="F83" s="3">
        <f>INDEX('02_品质等级'!$D$2:$D$6,MATCH(C83,'02_品质等级'!$A$2:$A$6,0))</f>
        <v/>
      </c>
      <c r="G83" s="3">
        <f>INDEX('05_副属性基础'!$H$2:$H$13,MATCH(D83,'05_副属性基础'!$G$2:$G$13,0))</f>
        <v/>
      </c>
      <c r="H83" s="3">
        <f>INDEX('02_品质等级'!$G$2:$G$6,MATCH(C83,'02_品质等级'!$A$2:$A$6,0))</f>
        <v/>
      </c>
      <c r="I83" s="3">
        <f>INDEX('02_品质等级'!$H$2:$H$6,MATCH(C83,'02_品质等级'!$A$2:$A$6,0))</f>
        <v/>
      </c>
      <c r="J83" s="3">
        <f>E83*F83*G83*H83</f>
        <v/>
      </c>
      <c r="K83" s="3">
        <f>E83*F83*G83*I83</f>
        <v/>
      </c>
    </row>
    <row r="84">
      <c r="A84" s="2" t="inlineStr">
        <is>
          <t>防御百分比</t>
        </is>
      </c>
      <c r="B84" s="2" t="inlineStr">
        <is>
          <t>百分比</t>
        </is>
      </c>
      <c r="C84" s="2" t="inlineStr">
        <is>
          <t>蓝</t>
        </is>
      </c>
      <c r="D84" s="2" t="n">
        <v>55</v>
      </c>
      <c r="E84" s="3">
        <f>INDEX('05_副属性基础'!$C$2:$C$11,MATCH(A84,'05_副属性基础'!$A$2:$A$11,0))</f>
        <v/>
      </c>
      <c r="F84" s="3">
        <f>INDEX('02_品质等级'!$D$2:$D$6,MATCH(C84,'02_品质等级'!$A$2:$A$6,0))</f>
        <v/>
      </c>
      <c r="G84" s="3">
        <f>INDEX('05_副属性基础'!$H$2:$H$13,MATCH(D84,'05_副属性基础'!$G$2:$G$13,0))</f>
        <v/>
      </c>
      <c r="H84" s="3">
        <f>INDEX('02_品质等级'!$G$2:$G$6,MATCH(C84,'02_品质等级'!$A$2:$A$6,0))</f>
        <v/>
      </c>
      <c r="I84" s="3">
        <f>INDEX('02_品质等级'!$H$2:$H$6,MATCH(C84,'02_品质等级'!$A$2:$A$6,0))</f>
        <v/>
      </c>
      <c r="J84" s="3">
        <f>E84*F84*G84*H84</f>
        <v/>
      </c>
      <c r="K84" s="3">
        <f>E84*F84*G84*I84</f>
        <v/>
      </c>
    </row>
    <row r="85">
      <c r="A85" s="2" t="inlineStr">
        <is>
          <t>防御百分比</t>
        </is>
      </c>
      <c r="B85" s="2" t="inlineStr">
        <is>
          <t>百分比</t>
        </is>
      </c>
      <c r="C85" s="2" t="inlineStr">
        <is>
          <t>蓝</t>
        </is>
      </c>
      <c r="D85" s="2" t="n">
        <v>60</v>
      </c>
      <c r="E85" s="3">
        <f>INDEX('05_副属性基础'!$C$2:$C$11,MATCH(A85,'05_副属性基础'!$A$2:$A$11,0))</f>
        <v/>
      </c>
      <c r="F85" s="3">
        <f>INDEX('02_品质等级'!$D$2:$D$6,MATCH(C85,'02_品质等级'!$A$2:$A$6,0))</f>
        <v/>
      </c>
      <c r="G85" s="3">
        <f>INDEX('05_副属性基础'!$H$2:$H$13,MATCH(D85,'05_副属性基础'!$G$2:$G$13,0))</f>
        <v/>
      </c>
      <c r="H85" s="3">
        <f>INDEX('02_品质等级'!$G$2:$G$6,MATCH(C85,'02_品质等级'!$A$2:$A$6,0))</f>
        <v/>
      </c>
      <c r="I85" s="3">
        <f>INDEX('02_品质等级'!$H$2:$H$6,MATCH(C85,'02_品质等级'!$A$2:$A$6,0))</f>
        <v/>
      </c>
      <c r="J85" s="3">
        <f>E85*F85*G85*H85</f>
        <v/>
      </c>
      <c r="K85" s="3">
        <f>E85*F85*G85*I85</f>
        <v/>
      </c>
    </row>
    <row r="86">
      <c r="A86" s="2" t="inlineStr">
        <is>
          <t>防御百分比</t>
        </is>
      </c>
      <c r="B86" s="2" t="inlineStr">
        <is>
          <t>百分比</t>
        </is>
      </c>
      <c r="C86" s="2" t="inlineStr">
        <is>
          <t>紫</t>
        </is>
      </c>
      <c r="D86" s="2" t="n">
        <v>5</v>
      </c>
      <c r="E86" s="3">
        <f>INDEX('05_副属性基础'!$C$2:$C$11,MATCH(A86,'05_副属性基础'!$A$2:$A$11,0))</f>
        <v/>
      </c>
      <c r="F86" s="3">
        <f>INDEX('02_品质等级'!$D$2:$D$6,MATCH(C86,'02_品质等级'!$A$2:$A$6,0))</f>
        <v/>
      </c>
      <c r="G86" s="3">
        <f>INDEX('05_副属性基础'!$H$2:$H$13,MATCH(D86,'05_副属性基础'!$G$2:$G$13,0))</f>
        <v/>
      </c>
      <c r="H86" s="3">
        <f>INDEX('02_品质等级'!$G$2:$G$6,MATCH(C86,'02_品质等级'!$A$2:$A$6,0))</f>
        <v/>
      </c>
      <c r="I86" s="3">
        <f>INDEX('02_品质等级'!$H$2:$H$6,MATCH(C86,'02_品质等级'!$A$2:$A$6,0))</f>
        <v/>
      </c>
      <c r="J86" s="3">
        <f>E86*F86*G86*H86</f>
        <v/>
      </c>
      <c r="K86" s="3">
        <f>E86*F86*G86*I86</f>
        <v/>
      </c>
    </row>
    <row r="87">
      <c r="A87" s="2" t="inlineStr">
        <is>
          <t>防御百分比</t>
        </is>
      </c>
      <c r="B87" s="2" t="inlineStr">
        <is>
          <t>百分比</t>
        </is>
      </c>
      <c r="C87" s="2" t="inlineStr">
        <is>
          <t>紫</t>
        </is>
      </c>
      <c r="D87" s="2" t="n">
        <v>10</v>
      </c>
      <c r="E87" s="3">
        <f>INDEX('05_副属性基础'!$C$2:$C$11,MATCH(A87,'05_副属性基础'!$A$2:$A$11,0))</f>
        <v/>
      </c>
      <c r="F87" s="3">
        <f>INDEX('02_品质等级'!$D$2:$D$6,MATCH(C87,'02_品质等级'!$A$2:$A$6,0))</f>
        <v/>
      </c>
      <c r="G87" s="3">
        <f>INDEX('05_副属性基础'!$H$2:$H$13,MATCH(D87,'05_副属性基础'!$G$2:$G$13,0))</f>
        <v/>
      </c>
      <c r="H87" s="3">
        <f>INDEX('02_品质等级'!$G$2:$G$6,MATCH(C87,'02_品质等级'!$A$2:$A$6,0))</f>
        <v/>
      </c>
      <c r="I87" s="3">
        <f>INDEX('02_品质等级'!$H$2:$H$6,MATCH(C87,'02_品质等级'!$A$2:$A$6,0))</f>
        <v/>
      </c>
      <c r="J87" s="3">
        <f>E87*F87*G87*H87</f>
        <v/>
      </c>
      <c r="K87" s="3">
        <f>E87*F87*G87*I87</f>
        <v/>
      </c>
    </row>
    <row r="88">
      <c r="A88" s="2" t="inlineStr">
        <is>
          <t>防御百分比</t>
        </is>
      </c>
      <c r="B88" s="2" t="inlineStr">
        <is>
          <t>百分比</t>
        </is>
      </c>
      <c r="C88" s="2" t="inlineStr">
        <is>
          <t>紫</t>
        </is>
      </c>
      <c r="D88" s="2" t="n">
        <v>15</v>
      </c>
      <c r="E88" s="3">
        <f>INDEX('05_副属性基础'!$C$2:$C$11,MATCH(A88,'05_副属性基础'!$A$2:$A$11,0))</f>
        <v/>
      </c>
      <c r="F88" s="3">
        <f>INDEX('02_品质等级'!$D$2:$D$6,MATCH(C88,'02_品质等级'!$A$2:$A$6,0))</f>
        <v/>
      </c>
      <c r="G88" s="3">
        <f>INDEX('05_副属性基础'!$H$2:$H$13,MATCH(D88,'05_副属性基础'!$G$2:$G$13,0))</f>
        <v/>
      </c>
      <c r="H88" s="3">
        <f>INDEX('02_品质等级'!$G$2:$G$6,MATCH(C88,'02_品质等级'!$A$2:$A$6,0))</f>
        <v/>
      </c>
      <c r="I88" s="3">
        <f>INDEX('02_品质等级'!$H$2:$H$6,MATCH(C88,'02_品质等级'!$A$2:$A$6,0))</f>
        <v/>
      </c>
      <c r="J88" s="3">
        <f>E88*F88*G88*H88</f>
        <v/>
      </c>
      <c r="K88" s="3">
        <f>E88*F88*G88*I88</f>
        <v/>
      </c>
    </row>
    <row r="89">
      <c r="A89" s="2" t="inlineStr">
        <is>
          <t>防御百分比</t>
        </is>
      </c>
      <c r="B89" s="2" t="inlineStr">
        <is>
          <t>百分比</t>
        </is>
      </c>
      <c r="C89" s="2" t="inlineStr">
        <is>
          <t>紫</t>
        </is>
      </c>
      <c r="D89" s="2" t="n">
        <v>20</v>
      </c>
      <c r="E89" s="3">
        <f>INDEX('05_副属性基础'!$C$2:$C$11,MATCH(A89,'05_副属性基础'!$A$2:$A$11,0))</f>
        <v/>
      </c>
      <c r="F89" s="3">
        <f>INDEX('02_品质等级'!$D$2:$D$6,MATCH(C89,'02_品质等级'!$A$2:$A$6,0))</f>
        <v/>
      </c>
      <c r="G89" s="3">
        <f>INDEX('05_副属性基础'!$H$2:$H$13,MATCH(D89,'05_副属性基础'!$G$2:$G$13,0))</f>
        <v/>
      </c>
      <c r="H89" s="3">
        <f>INDEX('02_品质等级'!$G$2:$G$6,MATCH(C89,'02_品质等级'!$A$2:$A$6,0))</f>
        <v/>
      </c>
      <c r="I89" s="3">
        <f>INDEX('02_品质等级'!$H$2:$H$6,MATCH(C89,'02_品质等级'!$A$2:$A$6,0))</f>
        <v/>
      </c>
      <c r="J89" s="3">
        <f>E89*F89*G89*H89</f>
        <v/>
      </c>
      <c r="K89" s="3">
        <f>E89*F89*G89*I89</f>
        <v/>
      </c>
    </row>
    <row r="90">
      <c r="A90" s="2" t="inlineStr">
        <is>
          <t>防御百分比</t>
        </is>
      </c>
      <c r="B90" s="2" t="inlineStr">
        <is>
          <t>百分比</t>
        </is>
      </c>
      <c r="C90" s="2" t="inlineStr">
        <is>
          <t>紫</t>
        </is>
      </c>
      <c r="D90" s="2" t="n">
        <v>25</v>
      </c>
      <c r="E90" s="3">
        <f>INDEX('05_副属性基础'!$C$2:$C$11,MATCH(A90,'05_副属性基础'!$A$2:$A$11,0))</f>
        <v/>
      </c>
      <c r="F90" s="3">
        <f>INDEX('02_品质等级'!$D$2:$D$6,MATCH(C90,'02_品质等级'!$A$2:$A$6,0))</f>
        <v/>
      </c>
      <c r="G90" s="3">
        <f>INDEX('05_副属性基础'!$H$2:$H$13,MATCH(D90,'05_副属性基础'!$G$2:$G$13,0))</f>
        <v/>
      </c>
      <c r="H90" s="3">
        <f>INDEX('02_品质等级'!$G$2:$G$6,MATCH(C90,'02_品质等级'!$A$2:$A$6,0))</f>
        <v/>
      </c>
      <c r="I90" s="3">
        <f>INDEX('02_品质等级'!$H$2:$H$6,MATCH(C90,'02_品质等级'!$A$2:$A$6,0))</f>
        <v/>
      </c>
      <c r="J90" s="3">
        <f>E90*F90*G90*H90</f>
        <v/>
      </c>
      <c r="K90" s="3">
        <f>E90*F90*G90*I90</f>
        <v/>
      </c>
    </row>
    <row r="91">
      <c r="A91" s="2" t="inlineStr">
        <is>
          <t>防御百分比</t>
        </is>
      </c>
      <c r="B91" s="2" t="inlineStr">
        <is>
          <t>百分比</t>
        </is>
      </c>
      <c r="C91" s="2" t="inlineStr">
        <is>
          <t>紫</t>
        </is>
      </c>
      <c r="D91" s="2" t="n">
        <v>30</v>
      </c>
      <c r="E91" s="3">
        <f>INDEX('05_副属性基础'!$C$2:$C$11,MATCH(A91,'05_副属性基础'!$A$2:$A$11,0))</f>
        <v/>
      </c>
      <c r="F91" s="3">
        <f>INDEX('02_品质等级'!$D$2:$D$6,MATCH(C91,'02_品质等级'!$A$2:$A$6,0))</f>
        <v/>
      </c>
      <c r="G91" s="3">
        <f>INDEX('05_副属性基础'!$H$2:$H$13,MATCH(D91,'05_副属性基础'!$G$2:$G$13,0))</f>
        <v/>
      </c>
      <c r="H91" s="3">
        <f>INDEX('02_品质等级'!$G$2:$G$6,MATCH(C91,'02_品质等级'!$A$2:$A$6,0))</f>
        <v/>
      </c>
      <c r="I91" s="3">
        <f>INDEX('02_品质等级'!$H$2:$H$6,MATCH(C91,'02_品质等级'!$A$2:$A$6,0))</f>
        <v/>
      </c>
      <c r="J91" s="3">
        <f>E91*F91*G91*H91</f>
        <v/>
      </c>
      <c r="K91" s="3">
        <f>E91*F91*G91*I91</f>
        <v/>
      </c>
    </row>
    <row r="92">
      <c r="A92" s="2" t="inlineStr">
        <is>
          <t>防御百分比</t>
        </is>
      </c>
      <c r="B92" s="2" t="inlineStr">
        <is>
          <t>百分比</t>
        </is>
      </c>
      <c r="C92" s="2" t="inlineStr">
        <is>
          <t>紫</t>
        </is>
      </c>
      <c r="D92" s="2" t="n">
        <v>35</v>
      </c>
      <c r="E92" s="3">
        <f>INDEX('05_副属性基础'!$C$2:$C$11,MATCH(A92,'05_副属性基础'!$A$2:$A$11,0))</f>
        <v/>
      </c>
      <c r="F92" s="3">
        <f>INDEX('02_品质等级'!$D$2:$D$6,MATCH(C92,'02_品质等级'!$A$2:$A$6,0))</f>
        <v/>
      </c>
      <c r="G92" s="3">
        <f>INDEX('05_副属性基础'!$H$2:$H$13,MATCH(D92,'05_副属性基础'!$G$2:$G$13,0))</f>
        <v/>
      </c>
      <c r="H92" s="3">
        <f>INDEX('02_品质等级'!$G$2:$G$6,MATCH(C92,'02_品质等级'!$A$2:$A$6,0))</f>
        <v/>
      </c>
      <c r="I92" s="3">
        <f>INDEX('02_品质等级'!$H$2:$H$6,MATCH(C92,'02_品质等级'!$A$2:$A$6,0))</f>
        <v/>
      </c>
      <c r="J92" s="3">
        <f>E92*F92*G92*H92</f>
        <v/>
      </c>
      <c r="K92" s="3">
        <f>E92*F92*G92*I92</f>
        <v/>
      </c>
    </row>
    <row r="93">
      <c r="A93" s="2" t="inlineStr">
        <is>
          <t>防御百分比</t>
        </is>
      </c>
      <c r="B93" s="2" t="inlineStr">
        <is>
          <t>百分比</t>
        </is>
      </c>
      <c r="C93" s="2" t="inlineStr">
        <is>
          <t>紫</t>
        </is>
      </c>
      <c r="D93" s="2" t="n">
        <v>40</v>
      </c>
      <c r="E93" s="3">
        <f>INDEX('05_副属性基础'!$C$2:$C$11,MATCH(A93,'05_副属性基础'!$A$2:$A$11,0))</f>
        <v/>
      </c>
      <c r="F93" s="3">
        <f>INDEX('02_品质等级'!$D$2:$D$6,MATCH(C93,'02_品质等级'!$A$2:$A$6,0))</f>
        <v/>
      </c>
      <c r="G93" s="3">
        <f>INDEX('05_副属性基础'!$H$2:$H$13,MATCH(D93,'05_副属性基础'!$G$2:$G$13,0))</f>
        <v/>
      </c>
      <c r="H93" s="3">
        <f>INDEX('02_品质等级'!$G$2:$G$6,MATCH(C93,'02_品质等级'!$A$2:$A$6,0))</f>
        <v/>
      </c>
      <c r="I93" s="3">
        <f>INDEX('02_品质等级'!$H$2:$H$6,MATCH(C93,'02_品质等级'!$A$2:$A$6,0))</f>
        <v/>
      </c>
      <c r="J93" s="3">
        <f>E93*F93*G93*H93</f>
        <v/>
      </c>
      <c r="K93" s="3">
        <f>E93*F93*G93*I93</f>
        <v/>
      </c>
    </row>
    <row r="94">
      <c r="A94" s="2" t="inlineStr">
        <is>
          <t>防御百分比</t>
        </is>
      </c>
      <c r="B94" s="2" t="inlineStr">
        <is>
          <t>百分比</t>
        </is>
      </c>
      <c r="C94" s="2" t="inlineStr">
        <is>
          <t>紫</t>
        </is>
      </c>
      <c r="D94" s="2" t="n">
        <v>45</v>
      </c>
      <c r="E94" s="3">
        <f>INDEX('05_副属性基础'!$C$2:$C$11,MATCH(A94,'05_副属性基础'!$A$2:$A$11,0))</f>
        <v/>
      </c>
      <c r="F94" s="3">
        <f>INDEX('02_品质等级'!$D$2:$D$6,MATCH(C94,'02_品质等级'!$A$2:$A$6,0))</f>
        <v/>
      </c>
      <c r="G94" s="3">
        <f>INDEX('05_副属性基础'!$H$2:$H$13,MATCH(D94,'05_副属性基础'!$G$2:$G$13,0))</f>
        <v/>
      </c>
      <c r="H94" s="3">
        <f>INDEX('02_品质等级'!$G$2:$G$6,MATCH(C94,'02_品质等级'!$A$2:$A$6,0))</f>
        <v/>
      </c>
      <c r="I94" s="3">
        <f>INDEX('02_品质等级'!$H$2:$H$6,MATCH(C94,'02_品质等级'!$A$2:$A$6,0))</f>
        <v/>
      </c>
      <c r="J94" s="3">
        <f>E94*F94*G94*H94</f>
        <v/>
      </c>
      <c r="K94" s="3">
        <f>E94*F94*G94*I94</f>
        <v/>
      </c>
    </row>
    <row r="95">
      <c r="A95" s="2" t="inlineStr">
        <is>
          <t>防御百分比</t>
        </is>
      </c>
      <c r="B95" s="2" t="inlineStr">
        <is>
          <t>百分比</t>
        </is>
      </c>
      <c r="C95" s="2" t="inlineStr">
        <is>
          <t>紫</t>
        </is>
      </c>
      <c r="D95" s="2" t="n">
        <v>50</v>
      </c>
      <c r="E95" s="3">
        <f>INDEX('05_副属性基础'!$C$2:$C$11,MATCH(A95,'05_副属性基础'!$A$2:$A$11,0))</f>
        <v/>
      </c>
      <c r="F95" s="3">
        <f>INDEX('02_品质等级'!$D$2:$D$6,MATCH(C95,'02_品质等级'!$A$2:$A$6,0))</f>
        <v/>
      </c>
      <c r="G95" s="3">
        <f>INDEX('05_副属性基础'!$H$2:$H$13,MATCH(D95,'05_副属性基础'!$G$2:$G$13,0))</f>
        <v/>
      </c>
      <c r="H95" s="3">
        <f>INDEX('02_品质等级'!$G$2:$G$6,MATCH(C95,'02_品质等级'!$A$2:$A$6,0))</f>
        <v/>
      </c>
      <c r="I95" s="3">
        <f>INDEX('02_品质等级'!$H$2:$H$6,MATCH(C95,'02_品质等级'!$A$2:$A$6,0))</f>
        <v/>
      </c>
      <c r="J95" s="3">
        <f>E95*F95*G95*H95</f>
        <v/>
      </c>
      <c r="K95" s="3">
        <f>E95*F95*G95*I95</f>
        <v/>
      </c>
    </row>
    <row r="96">
      <c r="A96" s="2" t="inlineStr">
        <is>
          <t>防御百分比</t>
        </is>
      </c>
      <c r="B96" s="2" t="inlineStr">
        <is>
          <t>百分比</t>
        </is>
      </c>
      <c r="C96" s="2" t="inlineStr">
        <is>
          <t>紫</t>
        </is>
      </c>
      <c r="D96" s="2" t="n">
        <v>55</v>
      </c>
      <c r="E96" s="3">
        <f>INDEX('05_副属性基础'!$C$2:$C$11,MATCH(A96,'05_副属性基础'!$A$2:$A$11,0))</f>
        <v/>
      </c>
      <c r="F96" s="3">
        <f>INDEX('02_品质等级'!$D$2:$D$6,MATCH(C96,'02_品质等级'!$A$2:$A$6,0))</f>
        <v/>
      </c>
      <c r="G96" s="3">
        <f>INDEX('05_副属性基础'!$H$2:$H$13,MATCH(D96,'05_副属性基础'!$G$2:$G$13,0))</f>
        <v/>
      </c>
      <c r="H96" s="3">
        <f>INDEX('02_品质等级'!$G$2:$G$6,MATCH(C96,'02_品质等级'!$A$2:$A$6,0))</f>
        <v/>
      </c>
      <c r="I96" s="3">
        <f>INDEX('02_品质等级'!$H$2:$H$6,MATCH(C96,'02_品质等级'!$A$2:$A$6,0))</f>
        <v/>
      </c>
      <c r="J96" s="3">
        <f>E96*F96*G96*H96</f>
        <v/>
      </c>
      <c r="K96" s="3">
        <f>E96*F96*G96*I96</f>
        <v/>
      </c>
    </row>
    <row r="97">
      <c r="A97" s="2" t="inlineStr">
        <is>
          <t>防御百分比</t>
        </is>
      </c>
      <c r="B97" s="2" t="inlineStr">
        <is>
          <t>百分比</t>
        </is>
      </c>
      <c r="C97" s="2" t="inlineStr">
        <is>
          <t>紫</t>
        </is>
      </c>
      <c r="D97" s="2" t="n">
        <v>60</v>
      </c>
      <c r="E97" s="3">
        <f>INDEX('05_副属性基础'!$C$2:$C$11,MATCH(A97,'05_副属性基础'!$A$2:$A$11,0))</f>
        <v/>
      </c>
      <c r="F97" s="3">
        <f>INDEX('02_品质等级'!$D$2:$D$6,MATCH(C97,'02_品质等级'!$A$2:$A$6,0))</f>
        <v/>
      </c>
      <c r="G97" s="3">
        <f>INDEX('05_副属性基础'!$H$2:$H$13,MATCH(D97,'05_副属性基础'!$G$2:$G$13,0))</f>
        <v/>
      </c>
      <c r="H97" s="3">
        <f>INDEX('02_品质等级'!$G$2:$G$6,MATCH(C97,'02_品质等级'!$A$2:$A$6,0))</f>
        <v/>
      </c>
      <c r="I97" s="3">
        <f>INDEX('02_品质等级'!$H$2:$H$6,MATCH(C97,'02_品质等级'!$A$2:$A$6,0))</f>
        <v/>
      </c>
      <c r="J97" s="3">
        <f>E97*F97*G97*H97</f>
        <v/>
      </c>
      <c r="K97" s="3">
        <f>E97*F97*G97*I97</f>
        <v/>
      </c>
    </row>
    <row r="98">
      <c r="A98" s="2" t="inlineStr">
        <is>
          <t>防御百分比</t>
        </is>
      </c>
      <c r="B98" s="2" t="inlineStr">
        <is>
          <t>百分比</t>
        </is>
      </c>
      <c r="C98" s="2" t="inlineStr">
        <is>
          <t>金</t>
        </is>
      </c>
      <c r="D98" s="2" t="n">
        <v>5</v>
      </c>
      <c r="E98" s="3">
        <f>INDEX('05_副属性基础'!$C$2:$C$11,MATCH(A98,'05_副属性基础'!$A$2:$A$11,0))</f>
        <v/>
      </c>
      <c r="F98" s="3">
        <f>INDEX('02_品质等级'!$D$2:$D$6,MATCH(C98,'02_品质等级'!$A$2:$A$6,0))</f>
        <v/>
      </c>
      <c r="G98" s="3">
        <f>INDEX('05_副属性基础'!$H$2:$H$13,MATCH(D98,'05_副属性基础'!$G$2:$G$13,0))</f>
        <v/>
      </c>
      <c r="H98" s="3">
        <f>INDEX('02_品质等级'!$G$2:$G$6,MATCH(C98,'02_品质等级'!$A$2:$A$6,0))</f>
        <v/>
      </c>
      <c r="I98" s="3">
        <f>INDEX('02_品质等级'!$H$2:$H$6,MATCH(C98,'02_品质等级'!$A$2:$A$6,0))</f>
        <v/>
      </c>
      <c r="J98" s="3">
        <f>E98*F98*G98*H98</f>
        <v/>
      </c>
      <c r="K98" s="3">
        <f>E98*F98*G98*I98</f>
        <v/>
      </c>
    </row>
    <row r="99">
      <c r="A99" s="2" t="inlineStr">
        <is>
          <t>防御百分比</t>
        </is>
      </c>
      <c r="B99" s="2" t="inlineStr">
        <is>
          <t>百分比</t>
        </is>
      </c>
      <c r="C99" s="2" t="inlineStr">
        <is>
          <t>金</t>
        </is>
      </c>
      <c r="D99" s="2" t="n">
        <v>10</v>
      </c>
      <c r="E99" s="3">
        <f>INDEX('05_副属性基础'!$C$2:$C$11,MATCH(A99,'05_副属性基础'!$A$2:$A$11,0))</f>
        <v/>
      </c>
      <c r="F99" s="3">
        <f>INDEX('02_品质等级'!$D$2:$D$6,MATCH(C99,'02_品质等级'!$A$2:$A$6,0))</f>
        <v/>
      </c>
      <c r="G99" s="3">
        <f>INDEX('05_副属性基础'!$H$2:$H$13,MATCH(D99,'05_副属性基础'!$G$2:$G$13,0))</f>
        <v/>
      </c>
      <c r="H99" s="3">
        <f>INDEX('02_品质等级'!$G$2:$G$6,MATCH(C99,'02_品质等级'!$A$2:$A$6,0))</f>
        <v/>
      </c>
      <c r="I99" s="3">
        <f>INDEX('02_品质等级'!$H$2:$H$6,MATCH(C99,'02_品质等级'!$A$2:$A$6,0))</f>
        <v/>
      </c>
      <c r="J99" s="3">
        <f>E99*F99*G99*H99</f>
        <v/>
      </c>
      <c r="K99" s="3">
        <f>E99*F99*G99*I99</f>
        <v/>
      </c>
    </row>
    <row r="100">
      <c r="A100" s="2" t="inlineStr">
        <is>
          <t>防御百分比</t>
        </is>
      </c>
      <c r="B100" s="2" t="inlineStr">
        <is>
          <t>百分比</t>
        </is>
      </c>
      <c r="C100" s="2" t="inlineStr">
        <is>
          <t>金</t>
        </is>
      </c>
      <c r="D100" s="2" t="n">
        <v>15</v>
      </c>
      <c r="E100" s="3">
        <f>INDEX('05_副属性基础'!$C$2:$C$11,MATCH(A100,'05_副属性基础'!$A$2:$A$11,0))</f>
        <v/>
      </c>
      <c r="F100" s="3">
        <f>INDEX('02_品质等级'!$D$2:$D$6,MATCH(C100,'02_品质等级'!$A$2:$A$6,0))</f>
        <v/>
      </c>
      <c r="G100" s="3">
        <f>INDEX('05_副属性基础'!$H$2:$H$13,MATCH(D100,'05_副属性基础'!$G$2:$G$13,0))</f>
        <v/>
      </c>
      <c r="H100" s="3">
        <f>INDEX('02_品质等级'!$G$2:$G$6,MATCH(C100,'02_品质等级'!$A$2:$A$6,0))</f>
        <v/>
      </c>
      <c r="I100" s="3">
        <f>INDEX('02_品质等级'!$H$2:$H$6,MATCH(C100,'02_品质等级'!$A$2:$A$6,0))</f>
        <v/>
      </c>
      <c r="J100" s="3">
        <f>E100*F100*G100*H100</f>
        <v/>
      </c>
      <c r="K100" s="3">
        <f>E100*F100*G100*I100</f>
        <v/>
      </c>
    </row>
    <row r="101">
      <c r="A101" s="2" t="inlineStr">
        <is>
          <t>防御百分比</t>
        </is>
      </c>
      <c r="B101" s="2" t="inlineStr">
        <is>
          <t>百分比</t>
        </is>
      </c>
      <c r="C101" s="2" t="inlineStr">
        <is>
          <t>金</t>
        </is>
      </c>
      <c r="D101" s="2" t="n">
        <v>20</v>
      </c>
      <c r="E101" s="3">
        <f>INDEX('05_副属性基础'!$C$2:$C$11,MATCH(A101,'05_副属性基础'!$A$2:$A$11,0))</f>
        <v/>
      </c>
      <c r="F101" s="3">
        <f>INDEX('02_品质等级'!$D$2:$D$6,MATCH(C101,'02_品质等级'!$A$2:$A$6,0))</f>
        <v/>
      </c>
      <c r="G101" s="3">
        <f>INDEX('05_副属性基础'!$H$2:$H$13,MATCH(D101,'05_副属性基础'!$G$2:$G$13,0))</f>
        <v/>
      </c>
      <c r="H101" s="3">
        <f>INDEX('02_品质等级'!$G$2:$G$6,MATCH(C101,'02_品质等级'!$A$2:$A$6,0))</f>
        <v/>
      </c>
      <c r="I101" s="3">
        <f>INDEX('02_品质等级'!$H$2:$H$6,MATCH(C101,'02_品质等级'!$A$2:$A$6,0))</f>
        <v/>
      </c>
      <c r="J101" s="3">
        <f>E101*F101*G101*H101</f>
        <v/>
      </c>
      <c r="K101" s="3">
        <f>E101*F101*G101*I101</f>
        <v/>
      </c>
    </row>
    <row r="102">
      <c r="A102" s="2" t="inlineStr">
        <is>
          <t>防御百分比</t>
        </is>
      </c>
      <c r="B102" s="2" t="inlineStr">
        <is>
          <t>百分比</t>
        </is>
      </c>
      <c r="C102" s="2" t="inlineStr">
        <is>
          <t>金</t>
        </is>
      </c>
      <c r="D102" s="2" t="n">
        <v>25</v>
      </c>
      <c r="E102" s="3">
        <f>INDEX('05_副属性基础'!$C$2:$C$11,MATCH(A102,'05_副属性基础'!$A$2:$A$11,0))</f>
        <v/>
      </c>
      <c r="F102" s="3">
        <f>INDEX('02_品质等级'!$D$2:$D$6,MATCH(C102,'02_品质等级'!$A$2:$A$6,0))</f>
        <v/>
      </c>
      <c r="G102" s="3">
        <f>INDEX('05_副属性基础'!$H$2:$H$13,MATCH(D102,'05_副属性基础'!$G$2:$G$13,0))</f>
        <v/>
      </c>
      <c r="H102" s="3">
        <f>INDEX('02_品质等级'!$G$2:$G$6,MATCH(C102,'02_品质等级'!$A$2:$A$6,0))</f>
        <v/>
      </c>
      <c r="I102" s="3">
        <f>INDEX('02_品质等级'!$H$2:$H$6,MATCH(C102,'02_品质等级'!$A$2:$A$6,0))</f>
        <v/>
      </c>
      <c r="J102" s="3">
        <f>E102*F102*G102*H102</f>
        <v/>
      </c>
      <c r="K102" s="3">
        <f>E102*F102*G102*I102</f>
        <v/>
      </c>
    </row>
    <row r="103">
      <c r="A103" s="2" t="inlineStr">
        <is>
          <t>防御百分比</t>
        </is>
      </c>
      <c r="B103" s="2" t="inlineStr">
        <is>
          <t>百分比</t>
        </is>
      </c>
      <c r="C103" s="2" t="inlineStr">
        <is>
          <t>金</t>
        </is>
      </c>
      <c r="D103" s="2" t="n">
        <v>30</v>
      </c>
      <c r="E103" s="3">
        <f>INDEX('05_副属性基础'!$C$2:$C$11,MATCH(A103,'05_副属性基础'!$A$2:$A$11,0))</f>
        <v/>
      </c>
      <c r="F103" s="3">
        <f>INDEX('02_品质等级'!$D$2:$D$6,MATCH(C103,'02_品质等级'!$A$2:$A$6,0))</f>
        <v/>
      </c>
      <c r="G103" s="3">
        <f>INDEX('05_副属性基础'!$H$2:$H$13,MATCH(D103,'05_副属性基础'!$G$2:$G$13,0))</f>
        <v/>
      </c>
      <c r="H103" s="3">
        <f>INDEX('02_品质等级'!$G$2:$G$6,MATCH(C103,'02_品质等级'!$A$2:$A$6,0))</f>
        <v/>
      </c>
      <c r="I103" s="3">
        <f>INDEX('02_品质等级'!$H$2:$H$6,MATCH(C103,'02_品质等级'!$A$2:$A$6,0))</f>
        <v/>
      </c>
      <c r="J103" s="3">
        <f>E103*F103*G103*H103</f>
        <v/>
      </c>
      <c r="K103" s="3">
        <f>E103*F103*G103*I103</f>
        <v/>
      </c>
    </row>
    <row r="104">
      <c r="A104" s="2" t="inlineStr">
        <is>
          <t>防御百分比</t>
        </is>
      </c>
      <c r="B104" s="2" t="inlineStr">
        <is>
          <t>百分比</t>
        </is>
      </c>
      <c r="C104" s="2" t="inlineStr">
        <is>
          <t>金</t>
        </is>
      </c>
      <c r="D104" s="2" t="n">
        <v>35</v>
      </c>
      <c r="E104" s="3">
        <f>INDEX('05_副属性基础'!$C$2:$C$11,MATCH(A104,'05_副属性基础'!$A$2:$A$11,0))</f>
        <v/>
      </c>
      <c r="F104" s="3">
        <f>INDEX('02_品质等级'!$D$2:$D$6,MATCH(C104,'02_品质等级'!$A$2:$A$6,0))</f>
        <v/>
      </c>
      <c r="G104" s="3">
        <f>INDEX('05_副属性基础'!$H$2:$H$13,MATCH(D104,'05_副属性基础'!$G$2:$G$13,0))</f>
        <v/>
      </c>
      <c r="H104" s="3">
        <f>INDEX('02_品质等级'!$G$2:$G$6,MATCH(C104,'02_品质等级'!$A$2:$A$6,0))</f>
        <v/>
      </c>
      <c r="I104" s="3">
        <f>INDEX('02_品质等级'!$H$2:$H$6,MATCH(C104,'02_品质等级'!$A$2:$A$6,0))</f>
        <v/>
      </c>
      <c r="J104" s="3">
        <f>E104*F104*G104*H104</f>
        <v/>
      </c>
      <c r="K104" s="3">
        <f>E104*F104*G104*I104</f>
        <v/>
      </c>
    </row>
    <row r="105">
      <c r="A105" s="2" t="inlineStr">
        <is>
          <t>防御百分比</t>
        </is>
      </c>
      <c r="B105" s="2" t="inlineStr">
        <is>
          <t>百分比</t>
        </is>
      </c>
      <c r="C105" s="2" t="inlineStr">
        <is>
          <t>金</t>
        </is>
      </c>
      <c r="D105" s="2" t="n">
        <v>40</v>
      </c>
      <c r="E105" s="3">
        <f>INDEX('05_副属性基础'!$C$2:$C$11,MATCH(A105,'05_副属性基础'!$A$2:$A$11,0))</f>
        <v/>
      </c>
      <c r="F105" s="3">
        <f>INDEX('02_品质等级'!$D$2:$D$6,MATCH(C105,'02_品质等级'!$A$2:$A$6,0))</f>
        <v/>
      </c>
      <c r="G105" s="3">
        <f>INDEX('05_副属性基础'!$H$2:$H$13,MATCH(D105,'05_副属性基础'!$G$2:$G$13,0))</f>
        <v/>
      </c>
      <c r="H105" s="3">
        <f>INDEX('02_品质等级'!$G$2:$G$6,MATCH(C105,'02_品质等级'!$A$2:$A$6,0))</f>
        <v/>
      </c>
      <c r="I105" s="3">
        <f>INDEX('02_品质等级'!$H$2:$H$6,MATCH(C105,'02_品质等级'!$A$2:$A$6,0))</f>
        <v/>
      </c>
      <c r="J105" s="3">
        <f>E105*F105*G105*H105</f>
        <v/>
      </c>
      <c r="K105" s="3">
        <f>E105*F105*G105*I105</f>
        <v/>
      </c>
    </row>
    <row r="106">
      <c r="A106" s="2" t="inlineStr">
        <is>
          <t>防御百分比</t>
        </is>
      </c>
      <c r="B106" s="2" t="inlineStr">
        <is>
          <t>百分比</t>
        </is>
      </c>
      <c r="C106" s="2" t="inlineStr">
        <is>
          <t>金</t>
        </is>
      </c>
      <c r="D106" s="2" t="n">
        <v>45</v>
      </c>
      <c r="E106" s="3">
        <f>INDEX('05_副属性基础'!$C$2:$C$11,MATCH(A106,'05_副属性基础'!$A$2:$A$11,0))</f>
        <v/>
      </c>
      <c r="F106" s="3">
        <f>INDEX('02_品质等级'!$D$2:$D$6,MATCH(C106,'02_品质等级'!$A$2:$A$6,0))</f>
        <v/>
      </c>
      <c r="G106" s="3">
        <f>INDEX('05_副属性基础'!$H$2:$H$13,MATCH(D106,'05_副属性基础'!$G$2:$G$13,0))</f>
        <v/>
      </c>
      <c r="H106" s="3">
        <f>INDEX('02_品质等级'!$G$2:$G$6,MATCH(C106,'02_品质等级'!$A$2:$A$6,0))</f>
        <v/>
      </c>
      <c r="I106" s="3">
        <f>INDEX('02_品质等级'!$H$2:$H$6,MATCH(C106,'02_品质等级'!$A$2:$A$6,0))</f>
        <v/>
      </c>
      <c r="J106" s="3">
        <f>E106*F106*G106*H106</f>
        <v/>
      </c>
      <c r="K106" s="3">
        <f>E106*F106*G106*I106</f>
        <v/>
      </c>
    </row>
    <row r="107">
      <c r="A107" s="2" t="inlineStr">
        <is>
          <t>防御百分比</t>
        </is>
      </c>
      <c r="B107" s="2" t="inlineStr">
        <is>
          <t>百分比</t>
        </is>
      </c>
      <c r="C107" s="2" t="inlineStr">
        <is>
          <t>金</t>
        </is>
      </c>
      <c r="D107" s="2" t="n">
        <v>50</v>
      </c>
      <c r="E107" s="3">
        <f>INDEX('05_副属性基础'!$C$2:$C$11,MATCH(A107,'05_副属性基础'!$A$2:$A$11,0))</f>
        <v/>
      </c>
      <c r="F107" s="3">
        <f>INDEX('02_品质等级'!$D$2:$D$6,MATCH(C107,'02_品质等级'!$A$2:$A$6,0))</f>
        <v/>
      </c>
      <c r="G107" s="3">
        <f>INDEX('05_副属性基础'!$H$2:$H$13,MATCH(D107,'05_副属性基础'!$G$2:$G$13,0))</f>
        <v/>
      </c>
      <c r="H107" s="3">
        <f>INDEX('02_品质等级'!$G$2:$G$6,MATCH(C107,'02_品质等级'!$A$2:$A$6,0))</f>
        <v/>
      </c>
      <c r="I107" s="3">
        <f>INDEX('02_品质等级'!$H$2:$H$6,MATCH(C107,'02_品质等级'!$A$2:$A$6,0))</f>
        <v/>
      </c>
      <c r="J107" s="3">
        <f>E107*F107*G107*H107</f>
        <v/>
      </c>
      <c r="K107" s="3">
        <f>E107*F107*G107*I107</f>
        <v/>
      </c>
    </row>
    <row r="108">
      <c r="A108" s="2" t="inlineStr">
        <is>
          <t>防御百分比</t>
        </is>
      </c>
      <c r="B108" s="2" t="inlineStr">
        <is>
          <t>百分比</t>
        </is>
      </c>
      <c r="C108" s="2" t="inlineStr">
        <is>
          <t>金</t>
        </is>
      </c>
      <c r="D108" s="2" t="n">
        <v>55</v>
      </c>
      <c r="E108" s="3">
        <f>INDEX('05_副属性基础'!$C$2:$C$11,MATCH(A108,'05_副属性基础'!$A$2:$A$11,0))</f>
        <v/>
      </c>
      <c r="F108" s="3">
        <f>INDEX('02_品质等级'!$D$2:$D$6,MATCH(C108,'02_品质等级'!$A$2:$A$6,0))</f>
        <v/>
      </c>
      <c r="G108" s="3">
        <f>INDEX('05_副属性基础'!$H$2:$H$13,MATCH(D108,'05_副属性基础'!$G$2:$G$13,0))</f>
        <v/>
      </c>
      <c r="H108" s="3">
        <f>INDEX('02_品质等级'!$G$2:$G$6,MATCH(C108,'02_品质等级'!$A$2:$A$6,0))</f>
        <v/>
      </c>
      <c r="I108" s="3">
        <f>INDEX('02_品质等级'!$H$2:$H$6,MATCH(C108,'02_品质等级'!$A$2:$A$6,0))</f>
        <v/>
      </c>
      <c r="J108" s="3">
        <f>E108*F108*G108*H108</f>
        <v/>
      </c>
      <c r="K108" s="3">
        <f>E108*F108*G108*I108</f>
        <v/>
      </c>
    </row>
    <row r="109">
      <c r="A109" s="2" t="inlineStr">
        <is>
          <t>防御百分比</t>
        </is>
      </c>
      <c r="B109" s="2" t="inlineStr">
        <is>
          <t>百分比</t>
        </is>
      </c>
      <c r="C109" s="2" t="inlineStr">
        <is>
          <t>金</t>
        </is>
      </c>
      <c r="D109" s="2" t="n">
        <v>60</v>
      </c>
      <c r="E109" s="3">
        <f>INDEX('05_副属性基础'!$C$2:$C$11,MATCH(A109,'05_副属性基础'!$A$2:$A$11,0))</f>
        <v/>
      </c>
      <c r="F109" s="3">
        <f>INDEX('02_品质等级'!$D$2:$D$6,MATCH(C109,'02_品质等级'!$A$2:$A$6,0))</f>
        <v/>
      </c>
      <c r="G109" s="3">
        <f>INDEX('05_副属性基础'!$H$2:$H$13,MATCH(D109,'05_副属性基础'!$G$2:$G$13,0))</f>
        <v/>
      </c>
      <c r="H109" s="3">
        <f>INDEX('02_品质等级'!$G$2:$G$6,MATCH(C109,'02_品质等级'!$A$2:$A$6,0))</f>
        <v/>
      </c>
      <c r="I109" s="3">
        <f>INDEX('02_品质等级'!$H$2:$H$6,MATCH(C109,'02_品质等级'!$A$2:$A$6,0))</f>
        <v/>
      </c>
      <c r="J109" s="3">
        <f>E109*F109*G109*H109</f>
        <v/>
      </c>
      <c r="K109" s="3">
        <f>E109*F109*G109*I109</f>
        <v/>
      </c>
    </row>
    <row r="110">
      <c r="A110" s="2" t="inlineStr">
        <is>
          <t>防御百分比</t>
        </is>
      </c>
      <c r="B110" s="2" t="inlineStr">
        <is>
          <t>百分比</t>
        </is>
      </c>
      <c r="C110" s="2" t="inlineStr">
        <is>
          <t>红</t>
        </is>
      </c>
      <c r="D110" s="2" t="n">
        <v>5</v>
      </c>
      <c r="E110" s="3">
        <f>INDEX('05_副属性基础'!$C$2:$C$11,MATCH(A110,'05_副属性基础'!$A$2:$A$11,0))</f>
        <v/>
      </c>
      <c r="F110" s="3">
        <f>INDEX('02_品质等级'!$D$2:$D$6,MATCH(C110,'02_品质等级'!$A$2:$A$6,0))</f>
        <v/>
      </c>
      <c r="G110" s="3">
        <f>INDEX('05_副属性基础'!$H$2:$H$13,MATCH(D110,'05_副属性基础'!$G$2:$G$13,0))</f>
        <v/>
      </c>
      <c r="H110" s="3">
        <f>INDEX('02_品质等级'!$G$2:$G$6,MATCH(C110,'02_品质等级'!$A$2:$A$6,0))</f>
        <v/>
      </c>
      <c r="I110" s="3">
        <f>INDEX('02_品质等级'!$H$2:$H$6,MATCH(C110,'02_品质等级'!$A$2:$A$6,0))</f>
        <v/>
      </c>
      <c r="J110" s="3">
        <f>E110*F110*G110*H110</f>
        <v/>
      </c>
      <c r="K110" s="3">
        <f>E110*F110*G110*I110</f>
        <v/>
      </c>
    </row>
    <row r="111">
      <c r="A111" s="2" t="inlineStr">
        <is>
          <t>防御百分比</t>
        </is>
      </c>
      <c r="B111" s="2" t="inlineStr">
        <is>
          <t>百分比</t>
        </is>
      </c>
      <c r="C111" s="2" t="inlineStr">
        <is>
          <t>红</t>
        </is>
      </c>
      <c r="D111" s="2" t="n">
        <v>10</v>
      </c>
      <c r="E111" s="3">
        <f>INDEX('05_副属性基础'!$C$2:$C$11,MATCH(A111,'05_副属性基础'!$A$2:$A$11,0))</f>
        <v/>
      </c>
      <c r="F111" s="3">
        <f>INDEX('02_品质等级'!$D$2:$D$6,MATCH(C111,'02_品质等级'!$A$2:$A$6,0))</f>
        <v/>
      </c>
      <c r="G111" s="3">
        <f>INDEX('05_副属性基础'!$H$2:$H$13,MATCH(D111,'05_副属性基础'!$G$2:$G$13,0))</f>
        <v/>
      </c>
      <c r="H111" s="3">
        <f>INDEX('02_品质等级'!$G$2:$G$6,MATCH(C111,'02_品质等级'!$A$2:$A$6,0))</f>
        <v/>
      </c>
      <c r="I111" s="3">
        <f>INDEX('02_品质等级'!$H$2:$H$6,MATCH(C111,'02_品质等级'!$A$2:$A$6,0))</f>
        <v/>
      </c>
      <c r="J111" s="3">
        <f>E111*F111*G111*H111</f>
        <v/>
      </c>
      <c r="K111" s="3">
        <f>E111*F111*G111*I111</f>
        <v/>
      </c>
    </row>
    <row r="112">
      <c r="A112" s="2" t="inlineStr">
        <is>
          <t>防御百分比</t>
        </is>
      </c>
      <c r="B112" s="2" t="inlineStr">
        <is>
          <t>百分比</t>
        </is>
      </c>
      <c r="C112" s="2" t="inlineStr">
        <is>
          <t>红</t>
        </is>
      </c>
      <c r="D112" s="2" t="n">
        <v>15</v>
      </c>
      <c r="E112" s="3">
        <f>INDEX('05_副属性基础'!$C$2:$C$11,MATCH(A112,'05_副属性基础'!$A$2:$A$11,0))</f>
        <v/>
      </c>
      <c r="F112" s="3">
        <f>INDEX('02_品质等级'!$D$2:$D$6,MATCH(C112,'02_品质等级'!$A$2:$A$6,0))</f>
        <v/>
      </c>
      <c r="G112" s="3">
        <f>INDEX('05_副属性基础'!$H$2:$H$13,MATCH(D112,'05_副属性基础'!$G$2:$G$13,0))</f>
        <v/>
      </c>
      <c r="H112" s="3">
        <f>INDEX('02_品质等级'!$G$2:$G$6,MATCH(C112,'02_品质等级'!$A$2:$A$6,0))</f>
        <v/>
      </c>
      <c r="I112" s="3">
        <f>INDEX('02_品质等级'!$H$2:$H$6,MATCH(C112,'02_品质等级'!$A$2:$A$6,0))</f>
        <v/>
      </c>
      <c r="J112" s="3">
        <f>E112*F112*G112*H112</f>
        <v/>
      </c>
      <c r="K112" s="3">
        <f>E112*F112*G112*I112</f>
        <v/>
      </c>
    </row>
    <row r="113">
      <c r="A113" s="2" t="inlineStr">
        <is>
          <t>防御百分比</t>
        </is>
      </c>
      <c r="B113" s="2" t="inlineStr">
        <is>
          <t>百分比</t>
        </is>
      </c>
      <c r="C113" s="2" t="inlineStr">
        <is>
          <t>红</t>
        </is>
      </c>
      <c r="D113" s="2" t="n">
        <v>20</v>
      </c>
      <c r="E113" s="3">
        <f>INDEX('05_副属性基础'!$C$2:$C$11,MATCH(A113,'05_副属性基础'!$A$2:$A$11,0))</f>
        <v/>
      </c>
      <c r="F113" s="3">
        <f>INDEX('02_品质等级'!$D$2:$D$6,MATCH(C113,'02_品质等级'!$A$2:$A$6,0))</f>
        <v/>
      </c>
      <c r="G113" s="3">
        <f>INDEX('05_副属性基础'!$H$2:$H$13,MATCH(D113,'05_副属性基础'!$G$2:$G$13,0))</f>
        <v/>
      </c>
      <c r="H113" s="3">
        <f>INDEX('02_品质等级'!$G$2:$G$6,MATCH(C113,'02_品质等级'!$A$2:$A$6,0))</f>
        <v/>
      </c>
      <c r="I113" s="3">
        <f>INDEX('02_品质等级'!$H$2:$H$6,MATCH(C113,'02_品质等级'!$A$2:$A$6,0))</f>
        <v/>
      </c>
      <c r="J113" s="3">
        <f>E113*F113*G113*H113</f>
        <v/>
      </c>
      <c r="K113" s="3">
        <f>E113*F113*G113*I113</f>
        <v/>
      </c>
    </row>
    <row r="114">
      <c r="A114" s="2" t="inlineStr">
        <is>
          <t>防御百分比</t>
        </is>
      </c>
      <c r="B114" s="2" t="inlineStr">
        <is>
          <t>百分比</t>
        </is>
      </c>
      <c r="C114" s="2" t="inlineStr">
        <is>
          <t>红</t>
        </is>
      </c>
      <c r="D114" s="2" t="n">
        <v>25</v>
      </c>
      <c r="E114" s="3">
        <f>INDEX('05_副属性基础'!$C$2:$C$11,MATCH(A114,'05_副属性基础'!$A$2:$A$11,0))</f>
        <v/>
      </c>
      <c r="F114" s="3">
        <f>INDEX('02_品质等级'!$D$2:$D$6,MATCH(C114,'02_品质等级'!$A$2:$A$6,0))</f>
        <v/>
      </c>
      <c r="G114" s="3">
        <f>INDEX('05_副属性基础'!$H$2:$H$13,MATCH(D114,'05_副属性基础'!$G$2:$G$13,0))</f>
        <v/>
      </c>
      <c r="H114" s="3">
        <f>INDEX('02_品质等级'!$G$2:$G$6,MATCH(C114,'02_品质等级'!$A$2:$A$6,0))</f>
        <v/>
      </c>
      <c r="I114" s="3">
        <f>INDEX('02_品质等级'!$H$2:$H$6,MATCH(C114,'02_品质等级'!$A$2:$A$6,0))</f>
        <v/>
      </c>
      <c r="J114" s="3">
        <f>E114*F114*G114*H114</f>
        <v/>
      </c>
      <c r="K114" s="3">
        <f>E114*F114*G114*I114</f>
        <v/>
      </c>
    </row>
    <row r="115">
      <c r="A115" s="2" t="inlineStr">
        <is>
          <t>防御百分比</t>
        </is>
      </c>
      <c r="B115" s="2" t="inlineStr">
        <is>
          <t>百分比</t>
        </is>
      </c>
      <c r="C115" s="2" t="inlineStr">
        <is>
          <t>红</t>
        </is>
      </c>
      <c r="D115" s="2" t="n">
        <v>30</v>
      </c>
      <c r="E115" s="3">
        <f>INDEX('05_副属性基础'!$C$2:$C$11,MATCH(A115,'05_副属性基础'!$A$2:$A$11,0))</f>
        <v/>
      </c>
      <c r="F115" s="3">
        <f>INDEX('02_品质等级'!$D$2:$D$6,MATCH(C115,'02_品质等级'!$A$2:$A$6,0))</f>
        <v/>
      </c>
      <c r="G115" s="3">
        <f>INDEX('05_副属性基础'!$H$2:$H$13,MATCH(D115,'05_副属性基础'!$G$2:$G$13,0))</f>
        <v/>
      </c>
      <c r="H115" s="3">
        <f>INDEX('02_品质等级'!$G$2:$G$6,MATCH(C115,'02_品质等级'!$A$2:$A$6,0))</f>
        <v/>
      </c>
      <c r="I115" s="3">
        <f>INDEX('02_品质等级'!$H$2:$H$6,MATCH(C115,'02_品质等级'!$A$2:$A$6,0))</f>
        <v/>
      </c>
      <c r="J115" s="3">
        <f>E115*F115*G115*H115</f>
        <v/>
      </c>
      <c r="K115" s="3">
        <f>E115*F115*G115*I115</f>
        <v/>
      </c>
    </row>
    <row r="116">
      <c r="A116" s="2" t="inlineStr">
        <is>
          <t>防御百分比</t>
        </is>
      </c>
      <c r="B116" s="2" t="inlineStr">
        <is>
          <t>百分比</t>
        </is>
      </c>
      <c r="C116" s="2" t="inlineStr">
        <is>
          <t>红</t>
        </is>
      </c>
      <c r="D116" s="2" t="n">
        <v>35</v>
      </c>
      <c r="E116" s="3">
        <f>INDEX('05_副属性基础'!$C$2:$C$11,MATCH(A116,'05_副属性基础'!$A$2:$A$11,0))</f>
        <v/>
      </c>
      <c r="F116" s="3">
        <f>INDEX('02_品质等级'!$D$2:$D$6,MATCH(C116,'02_品质等级'!$A$2:$A$6,0))</f>
        <v/>
      </c>
      <c r="G116" s="3">
        <f>INDEX('05_副属性基础'!$H$2:$H$13,MATCH(D116,'05_副属性基础'!$G$2:$G$13,0))</f>
        <v/>
      </c>
      <c r="H116" s="3">
        <f>INDEX('02_品质等级'!$G$2:$G$6,MATCH(C116,'02_品质等级'!$A$2:$A$6,0))</f>
        <v/>
      </c>
      <c r="I116" s="3">
        <f>INDEX('02_品质等级'!$H$2:$H$6,MATCH(C116,'02_品质等级'!$A$2:$A$6,0))</f>
        <v/>
      </c>
      <c r="J116" s="3">
        <f>E116*F116*G116*H116</f>
        <v/>
      </c>
      <c r="K116" s="3">
        <f>E116*F116*G116*I116</f>
        <v/>
      </c>
    </row>
    <row r="117">
      <c r="A117" s="2" t="inlineStr">
        <is>
          <t>防御百分比</t>
        </is>
      </c>
      <c r="B117" s="2" t="inlineStr">
        <is>
          <t>百分比</t>
        </is>
      </c>
      <c r="C117" s="2" t="inlineStr">
        <is>
          <t>红</t>
        </is>
      </c>
      <c r="D117" s="2" t="n">
        <v>40</v>
      </c>
      <c r="E117" s="3">
        <f>INDEX('05_副属性基础'!$C$2:$C$11,MATCH(A117,'05_副属性基础'!$A$2:$A$11,0))</f>
        <v/>
      </c>
      <c r="F117" s="3">
        <f>INDEX('02_品质等级'!$D$2:$D$6,MATCH(C117,'02_品质等级'!$A$2:$A$6,0))</f>
        <v/>
      </c>
      <c r="G117" s="3">
        <f>INDEX('05_副属性基础'!$H$2:$H$13,MATCH(D117,'05_副属性基础'!$G$2:$G$13,0))</f>
        <v/>
      </c>
      <c r="H117" s="3">
        <f>INDEX('02_品质等级'!$G$2:$G$6,MATCH(C117,'02_品质等级'!$A$2:$A$6,0))</f>
        <v/>
      </c>
      <c r="I117" s="3">
        <f>INDEX('02_品质等级'!$H$2:$H$6,MATCH(C117,'02_品质等级'!$A$2:$A$6,0))</f>
        <v/>
      </c>
      <c r="J117" s="3">
        <f>E117*F117*G117*H117</f>
        <v/>
      </c>
      <c r="K117" s="3">
        <f>E117*F117*G117*I117</f>
        <v/>
      </c>
    </row>
    <row r="118">
      <c r="A118" s="2" t="inlineStr">
        <is>
          <t>防御百分比</t>
        </is>
      </c>
      <c r="B118" s="2" t="inlineStr">
        <is>
          <t>百分比</t>
        </is>
      </c>
      <c r="C118" s="2" t="inlineStr">
        <is>
          <t>红</t>
        </is>
      </c>
      <c r="D118" s="2" t="n">
        <v>45</v>
      </c>
      <c r="E118" s="3">
        <f>INDEX('05_副属性基础'!$C$2:$C$11,MATCH(A118,'05_副属性基础'!$A$2:$A$11,0))</f>
        <v/>
      </c>
      <c r="F118" s="3">
        <f>INDEX('02_品质等级'!$D$2:$D$6,MATCH(C118,'02_品质等级'!$A$2:$A$6,0))</f>
        <v/>
      </c>
      <c r="G118" s="3">
        <f>INDEX('05_副属性基础'!$H$2:$H$13,MATCH(D118,'05_副属性基础'!$G$2:$G$13,0))</f>
        <v/>
      </c>
      <c r="H118" s="3">
        <f>INDEX('02_品质等级'!$G$2:$G$6,MATCH(C118,'02_品质等级'!$A$2:$A$6,0))</f>
        <v/>
      </c>
      <c r="I118" s="3">
        <f>INDEX('02_品质等级'!$H$2:$H$6,MATCH(C118,'02_品质等级'!$A$2:$A$6,0))</f>
        <v/>
      </c>
      <c r="J118" s="3">
        <f>E118*F118*G118*H118</f>
        <v/>
      </c>
      <c r="K118" s="3">
        <f>E118*F118*G118*I118</f>
        <v/>
      </c>
    </row>
    <row r="119">
      <c r="A119" s="2" t="inlineStr">
        <is>
          <t>防御百分比</t>
        </is>
      </c>
      <c r="B119" s="2" t="inlineStr">
        <is>
          <t>百分比</t>
        </is>
      </c>
      <c r="C119" s="2" t="inlineStr">
        <is>
          <t>红</t>
        </is>
      </c>
      <c r="D119" s="2" t="n">
        <v>50</v>
      </c>
      <c r="E119" s="3">
        <f>INDEX('05_副属性基础'!$C$2:$C$11,MATCH(A119,'05_副属性基础'!$A$2:$A$11,0))</f>
        <v/>
      </c>
      <c r="F119" s="3">
        <f>INDEX('02_品质等级'!$D$2:$D$6,MATCH(C119,'02_品质等级'!$A$2:$A$6,0))</f>
        <v/>
      </c>
      <c r="G119" s="3">
        <f>INDEX('05_副属性基础'!$H$2:$H$13,MATCH(D119,'05_副属性基础'!$G$2:$G$13,0))</f>
        <v/>
      </c>
      <c r="H119" s="3">
        <f>INDEX('02_品质等级'!$G$2:$G$6,MATCH(C119,'02_品质等级'!$A$2:$A$6,0))</f>
        <v/>
      </c>
      <c r="I119" s="3">
        <f>INDEX('02_品质等级'!$H$2:$H$6,MATCH(C119,'02_品质等级'!$A$2:$A$6,0))</f>
        <v/>
      </c>
      <c r="J119" s="3">
        <f>E119*F119*G119*H119</f>
        <v/>
      </c>
      <c r="K119" s="3">
        <f>E119*F119*G119*I119</f>
        <v/>
      </c>
    </row>
    <row r="120">
      <c r="A120" s="2" t="inlineStr">
        <is>
          <t>防御百分比</t>
        </is>
      </c>
      <c r="B120" s="2" t="inlineStr">
        <is>
          <t>百分比</t>
        </is>
      </c>
      <c r="C120" s="2" t="inlineStr">
        <is>
          <t>红</t>
        </is>
      </c>
      <c r="D120" s="2" t="n">
        <v>55</v>
      </c>
      <c r="E120" s="3">
        <f>INDEX('05_副属性基础'!$C$2:$C$11,MATCH(A120,'05_副属性基础'!$A$2:$A$11,0))</f>
        <v/>
      </c>
      <c r="F120" s="3">
        <f>INDEX('02_品质等级'!$D$2:$D$6,MATCH(C120,'02_品质等级'!$A$2:$A$6,0))</f>
        <v/>
      </c>
      <c r="G120" s="3">
        <f>INDEX('05_副属性基础'!$H$2:$H$13,MATCH(D120,'05_副属性基础'!$G$2:$G$13,0))</f>
        <v/>
      </c>
      <c r="H120" s="3">
        <f>INDEX('02_品质等级'!$G$2:$G$6,MATCH(C120,'02_品质等级'!$A$2:$A$6,0))</f>
        <v/>
      </c>
      <c r="I120" s="3">
        <f>INDEX('02_品质等级'!$H$2:$H$6,MATCH(C120,'02_品质等级'!$A$2:$A$6,0))</f>
        <v/>
      </c>
      <c r="J120" s="3">
        <f>E120*F120*G120*H120</f>
        <v/>
      </c>
      <c r="K120" s="3">
        <f>E120*F120*G120*I120</f>
        <v/>
      </c>
    </row>
    <row r="121">
      <c r="A121" s="2" t="inlineStr">
        <is>
          <t>防御百分比</t>
        </is>
      </c>
      <c r="B121" s="2" t="inlineStr">
        <is>
          <t>百分比</t>
        </is>
      </c>
      <c r="C121" s="2" t="inlineStr">
        <is>
          <t>红</t>
        </is>
      </c>
      <c r="D121" s="2" t="n">
        <v>60</v>
      </c>
      <c r="E121" s="3">
        <f>INDEX('05_副属性基础'!$C$2:$C$11,MATCH(A121,'05_副属性基础'!$A$2:$A$11,0))</f>
        <v/>
      </c>
      <c r="F121" s="3">
        <f>INDEX('02_品质等级'!$D$2:$D$6,MATCH(C121,'02_品质等级'!$A$2:$A$6,0))</f>
        <v/>
      </c>
      <c r="G121" s="3">
        <f>INDEX('05_副属性基础'!$H$2:$H$13,MATCH(D121,'05_副属性基础'!$G$2:$G$13,0))</f>
        <v/>
      </c>
      <c r="H121" s="3">
        <f>INDEX('02_品质等级'!$G$2:$G$6,MATCH(C121,'02_品质等级'!$A$2:$A$6,0))</f>
        <v/>
      </c>
      <c r="I121" s="3">
        <f>INDEX('02_品质等级'!$H$2:$H$6,MATCH(C121,'02_品质等级'!$A$2:$A$6,0))</f>
        <v/>
      </c>
      <c r="J121" s="3">
        <f>E121*F121*G121*H121</f>
        <v/>
      </c>
      <c r="K121" s="3">
        <f>E121*F121*G121*I121</f>
        <v/>
      </c>
    </row>
    <row r="122">
      <c r="A122" s="2" t="inlineStr">
        <is>
          <t>生命百分比</t>
        </is>
      </c>
      <c r="B122" s="2" t="inlineStr">
        <is>
          <t>百分比</t>
        </is>
      </c>
      <c r="C122" s="2" t="inlineStr">
        <is>
          <t>绿</t>
        </is>
      </c>
      <c r="D122" s="2" t="n">
        <v>5</v>
      </c>
      <c r="E122" s="3">
        <f>INDEX('05_副属性基础'!$C$2:$C$11,MATCH(A122,'05_副属性基础'!$A$2:$A$11,0))</f>
        <v/>
      </c>
      <c r="F122" s="3">
        <f>INDEX('02_品质等级'!$D$2:$D$6,MATCH(C122,'02_品质等级'!$A$2:$A$6,0))</f>
        <v/>
      </c>
      <c r="G122" s="3">
        <f>INDEX('05_副属性基础'!$H$2:$H$13,MATCH(D122,'05_副属性基础'!$G$2:$G$13,0))</f>
        <v/>
      </c>
      <c r="H122" s="3">
        <f>INDEX('02_品质等级'!$G$2:$G$6,MATCH(C122,'02_品质等级'!$A$2:$A$6,0))</f>
        <v/>
      </c>
      <c r="I122" s="3">
        <f>INDEX('02_品质等级'!$H$2:$H$6,MATCH(C122,'02_品质等级'!$A$2:$A$6,0))</f>
        <v/>
      </c>
      <c r="J122" s="3">
        <f>E122*F122*G122*H122</f>
        <v/>
      </c>
      <c r="K122" s="3">
        <f>E122*F122*G122*I122</f>
        <v/>
      </c>
    </row>
    <row r="123">
      <c r="A123" s="2" t="inlineStr">
        <is>
          <t>生命百分比</t>
        </is>
      </c>
      <c r="B123" s="2" t="inlineStr">
        <is>
          <t>百分比</t>
        </is>
      </c>
      <c r="C123" s="2" t="inlineStr">
        <is>
          <t>绿</t>
        </is>
      </c>
      <c r="D123" s="2" t="n">
        <v>10</v>
      </c>
      <c r="E123" s="3">
        <f>INDEX('05_副属性基础'!$C$2:$C$11,MATCH(A123,'05_副属性基础'!$A$2:$A$11,0))</f>
        <v/>
      </c>
      <c r="F123" s="3">
        <f>INDEX('02_品质等级'!$D$2:$D$6,MATCH(C123,'02_品质等级'!$A$2:$A$6,0))</f>
        <v/>
      </c>
      <c r="G123" s="3">
        <f>INDEX('05_副属性基础'!$H$2:$H$13,MATCH(D123,'05_副属性基础'!$G$2:$G$13,0))</f>
        <v/>
      </c>
      <c r="H123" s="3">
        <f>INDEX('02_品质等级'!$G$2:$G$6,MATCH(C123,'02_品质等级'!$A$2:$A$6,0))</f>
        <v/>
      </c>
      <c r="I123" s="3">
        <f>INDEX('02_品质等级'!$H$2:$H$6,MATCH(C123,'02_品质等级'!$A$2:$A$6,0))</f>
        <v/>
      </c>
      <c r="J123" s="3">
        <f>E123*F123*G123*H123</f>
        <v/>
      </c>
      <c r="K123" s="3">
        <f>E123*F123*G123*I123</f>
        <v/>
      </c>
    </row>
    <row r="124">
      <c r="A124" s="2" t="inlineStr">
        <is>
          <t>生命百分比</t>
        </is>
      </c>
      <c r="B124" s="2" t="inlineStr">
        <is>
          <t>百分比</t>
        </is>
      </c>
      <c r="C124" s="2" t="inlineStr">
        <is>
          <t>绿</t>
        </is>
      </c>
      <c r="D124" s="2" t="n">
        <v>15</v>
      </c>
      <c r="E124" s="3">
        <f>INDEX('05_副属性基础'!$C$2:$C$11,MATCH(A124,'05_副属性基础'!$A$2:$A$11,0))</f>
        <v/>
      </c>
      <c r="F124" s="3">
        <f>INDEX('02_品质等级'!$D$2:$D$6,MATCH(C124,'02_品质等级'!$A$2:$A$6,0))</f>
        <v/>
      </c>
      <c r="G124" s="3">
        <f>INDEX('05_副属性基础'!$H$2:$H$13,MATCH(D124,'05_副属性基础'!$G$2:$G$13,0))</f>
        <v/>
      </c>
      <c r="H124" s="3">
        <f>INDEX('02_品质等级'!$G$2:$G$6,MATCH(C124,'02_品质等级'!$A$2:$A$6,0))</f>
        <v/>
      </c>
      <c r="I124" s="3">
        <f>INDEX('02_品质等级'!$H$2:$H$6,MATCH(C124,'02_品质等级'!$A$2:$A$6,0))</f>
        <v/>
      </c>
      <c r="J124" s="3">
        <f>E124*F124*G124*H124</f>
        <v/>
      </c>
      <c r="K124" s="3">
        <f>E124*F124*G124*I124</f>
        <v/>
      </c>
    </row>
    <row r="125">
      <c r="A125" s="2" t="inlineStr">
        <is>
          <t>生命百分比</t>
        </is>
      </c>
      <c r="B125" s="2" t="inlineStr">
        <is>
          <t>百分比</t>
        </is>
      </c>
      <c r="C125" s="2" t="inlineStr">
        <is>
          <t>绿</t>
        </is>
      </c>
      <c r="D125" s="2" t="n">
        <v>20</v>
      </c>
      <c r="E125" s="3">
        <f>INDEX('05_副属性基础'!$C$2:$C$11,MATCH(A125,'05_副属性基础'!$A$2:$A$11,0))</f>
        <v/>
      </c>
      <c r="F125" s="3">
        <f>INDEX('02_品质等级'!$D$2:$D$6,MATCH(C125,'02_品质等级'!$A$2:$A$6,0))</f>
        <v/>
      </c>
      <c r="G125" s="3">
        <f>INDEX('05_副属性基础'!$H$2:$H$13,MATCH(D125,'05_副属性基础'!$G$2:$G$13,0))</f>
        <v/>
      </c>
      <c r="H125" s="3">
        <f>INDEX('02_品质等级'!$G$2:$G$6,MATCH(C125,'02_品质等级'!$A$2:$A$6,0))</f>
        <v/>
      </c>
      <c r="I125" s="3">
        <f>INDEX('02_品质等级'!$H$2:$H$6,MATCH(C125,'02_品质等级'!$A$2:$A$6,0))</f>
        <v/>
      </c>
      <c r="J125" s="3">
        <f>E125*F125*G125*H125</f>
        <v/>
      </c>
      <c r="K125" s="3">
        <f>E125*F125*G125*I125</f>
        <v/>
      </c>
    </row>
    <row r="126">
      <c r="A126" s="2" t="inlineStr">
        <is>
          <t>生命百分比</t>
        </is>
      </c>
      <c r="B126" s="2" t="inlineStr">
        <is>
          <t>百分比</t>
        </is>
      </c>
      <c r="C126" s="2" t="inlineStr">
        <is>
          <t>绿</t>
        </is>
      </c>
      <c r="D126" s="2" t="n">
        <v>25</v>
      </c>
      <c r="E126" s="3">
        <f>INDEX('05_副属性基础'!$C$2:$C$11,MATCH(A126,'05_副属性基础'!$A$2:$A$11,0))</f>
        <v/>
      </c>
      <c r="F126" s="3">
        <f>INDEX('02_品质等级'!$D$2:$D$6,MATCH(C126,'02_品质等级'!$A$2:$A$6,0))</f>
        <v/>
      </c>
      <c r="G126" s="3">
        <f>INDEX('05_副属性基础'!$H$2:$H$13,MATCH(D126,'05_副属性基础'!$G$2:$G$13,0))</f>
        <v/>
      </c>
      <c r="H126" s="3">
        <f>INDEX('02_品质等级'!$G$2:$G$6,MATCH(C126,'02_品质等级'!$A$2:$A$6,0))</f>
        <v/>
      </c>
      <c r="I126" s="3">
        <f>INDEX('02_品质等级'!$H$2:$H$6,MATCH(C126,'02_品质等级'!$A$2:$A$6,0))</f>
        <v/>
      </c>
      <c r="J126" s="3">
        <f>E126*F126*G126*H126</f>
        <v/>
      </c>
      <c r="K126" s="3">
        <f>E126*F126*G126*I126</f>
        <v/>
      </c>
    </row>
    <row r="127">
      <c r="A127" s="2" t="inlineStr">
        <is>
          <t>生命百分比</t>
        </is>
      </c>
      <c r="B127" s="2" t="inlineStr">
        <is>
          <t>百分比</t>
        </is>
      </c>
      <c r="C127" s="2" t="inlineStr">
        <is>
          <t>绿</t>
        </is>
      </c>
      <c r="D127" s="2" t="n">
        <v>30</v>
      </c>
      <c r="E127" s="3">
        <f>INDEX('05_副属性基础'!$C$2:$C$11,MATCH(A127,'05_副属性基础'!$A$2:$A$11,0))</f>
        <v/>
      </c>
      <c r="F127" s="3">
        <f>INDEX('02_品质等级'!$D$2:$D$6,MATCH(C127,'02_品质等级'!$A$2:$A$6,0))</f>
        <v/>
      </c>
      <c r="G127" s="3">
        <f>INDEX('05_副属性基础'!$H$2:$H$13,MATCH(D127,'05_副属性基础'!$G$2:$G$13,0))</f>
        <v/>
      </c>
      <c r="H127" s="3">
        <f>INDEX('02_品质等级'!$G$2:$G$6,MATCH(C127,'02_品质等级'!$A$2:$A$6,0))</f>
        <v/>
      </c>
      <c r="I127" s="3">
        <f>INDEX('02_品质等级'!$H$2:$H$6,MATCH(C127,'02_品质等级'!$A$2:$A$6,0))</f>
        <v/>
      </c>
      <c r="J127" s="3">
        <f>E127*F127*G127*H127</f>
        <v/>
      </c>
      <c r="K127" s="3">
        <f>E127*F127*G127*I127</f>
        <v/>
      </c>
    </row>
    <row r="128">
      <c r="A128" s="2" t="inlineStr">
        <is>
          <t>生命百分比</t>
        </is>
      </c>
      <c r="B128" s="2" t="inlineStr">
        <is>
          <t>百分比</t>
        </is>
      </c>
      <c r="C128" s="2" t="inlineStr">
        <is>
          <t>绿</t>
        </is>
      </c>
      <c r="D128" s="2" t="n">
        <v>35</v>
      </c>
      <c r="E128" s="3">
        <f>INDEX('05_副属性基础'!$C$2:$C$11,MATCH(A128,'05_副属性基础'!$A$2:$A$11,0))</f>
        <v/>
      </c>
      <c r="F128" s="3">
        <f>INDEX('02_品质等级'!$D$2:$D$6,MATCH(C128,'02_品质等级'!$A$2:$A$6,0))</f>
        <v/>
      </c>
      <c r="G128" s="3">
        <f>INDEX('05_副属性基础'!$H$2:$H$13,MATCH(D128,'05_副属性基础'!$G$2:$G$13,0))</f>
        <v/>
      </c>
      <c r="H128" s="3">
        <f>INDEX('02_品质等级'!$G$2:$G$6,MATCH(C128,'02_品质等级'!$A$2:$A$6,0))</f>
        <v/>
      </c>
      <c r="I128" s="3">
        <f>INDEX('02_品质等级'!$H$2:$H$6,MATCH(C128,'02_品质等级'!$A$2:$A$6,0))</f>
        <v/>
      </c>
      <c r="J128" s="3">
        <f>E128*F128*G128*H128</f>
        <v/>
      </c>
      <c r="K128" s="3">
        <f>E128*F128*G128*I128</f>
        <v/>
      </c>
    </row>
    <row r="129">
      <c r="A129" s="2" t="inlineStr">
        <is>
          <t>生命百分比</t>
        </is>
      </c>
      <c r="B129" s="2" t="inlineStr">
        <is>
          <t>百分比</t>
        </is>
      </c>
      <c r="C129" s="2" t="inlineStr">
        <is>
          <t>绿</t>
        </is>
      </c>
      <c r="D129" s="2" t="n">
        <v>40</v>
      </c>
      <c r="E129" s="3">
        <f>INDEX('05_副属性基础'!$C$2:$C$11,MATCH(A129,'05_副属性基础'!$A$2:$A$11,0))</f>
        <v/>
      </c>
      <c r="F129" s="3">
        <f>INDEX('02_品质等级'!$D$2:$D$6,MATCH(C129,'02_品质等级'!$A$2:$A$6,0))</f>
        <v/>
      </c>
      <c r="G129" s="3">
        <f>INDEX('05_副属性基础'!$H$2:$H$13,MATCH(D129,'05_副属性基础'!$G$2:$G$13,0))</f>
        <v/>
      </c>
      <c r="H129" s="3">
        <f>INDEX('02_品质等级'!$G$2:$G$6,MATCH(C129,'02_品质等级'!$A$2:$A$6,0))</f>
        <v/>
      </c>
      <c r="I129" s="3">
        <f>INDEX('02_品质等级'!$H$2:$H$6,MATCH(C129,'02_品质等级'!$A$2:$A$6,0))</f>
        <v/>
      </c>
      <c r="J129" s="3">
        <f>E129*F129*G129*H129</f>
        <v/>
      </c>
      <c r="K129" s="3">
        <f>E129*F129*G129*I129</f>
        <v/>
      </c>
    </row>
    <row r="130">
      <c r="A130" s="2" t="inlineStr">
        <is>
          <t>生命百分比</t>
        </is>
      </c>
      <c r="B130" s="2" t="inlineStr">
        <is>
          <t>百分比</t>
        </is>
      </c>
      <c r="C130" s="2" t="inlineStr">
        <is>
          <t>绿</t>
        </is>
      </c>
      <c r="D130" s="2" t="n">
        <v>45</v>
      </c>
      <c r="E130" s="3">
        <f>INDEX('05_副属性基础'!$C$2:$C$11,MATCH(A130,'05_副属性基础'!$A$2:$A$11,0))</f>
        <v/>
      </c>
      <c r="F130" s="3">
        <f>INDEX('02_品质等级'!$D$2:$D$6,MATCH(C130,'02_品质等级'!$A$2:$A$6,0))</f>
        <v/>
      </c>
      <c r="G130" s="3">
        <f>INDEX('05_副属性基础'!$H$2:$H$13,MATCH(D130,'05_副属性基础'!$G$2:$G$13,0))</f>
        <v/>
      </c>
      <c r="H130" s="3">
        <f>INDEX('02_品质等级'!$G$2:$G$6,MATCH(C130,'02_品质等级'!$A$2:$A$6,0))</f>
        <v/>
      </c>
      <c r="I130" s="3">
        <f>INDEX('02_品质等级'!$H$2:$H$6,MATCH(C130,'02_品质等级'!$A$2:$A$6,0))</f>
        <v/>
      </c>
      <c r="J130" s="3">
        <f>E130*F130*G130*H130</f>
        <v/>
      </c>
      <c r="K130" s="3">
        <f>E130*F130*G130*I130</f>
        <v/>
      </c>
    </row>
    <row r="131">
      <c r="A131" s="2" t="inlineStr">
        <is>
          <t>生命百分比</t>
        </is>
      </c>
      <c r="B131" s="2" t="inlineStr">
        <is>
          <t>百分比</t>
        </is>
      </c>
      <c r="C131" s="2" t="inlineStr">
        <is>
          <t>绿</t>
        </is>
      </c>
      <c r="D131" s="2" t="n">
        <v>50</v>
      </c>
      <c r="E131" s="3">
        <f>INDEX('05_副属性基础'!$C$2:$C$11,MATCH(A131,'05_副属性基础'!$A$2:$A$11,0))</f>
        <v/>
      </c>
      <c r="F131" s="3">
        <f>INDEX('02_品质等级'!$D$2:$D$6,MATCH(C131,'02_品质等级'!$A$2:$A$6,0))</f>
        <v/>
      </c>
      <c r="G131" s="3">
        <f>INDEX('05_副属性基础'!$H$2:$H$13,MATCH(D131,'05_副属性基础'!$G$2:$G$13,0))</f>
        <v/>
      </c>
      <c r="H131" s="3">
        <f>INDEX('02_品质等级'!$G$2:$G$6,MATCH(C131,'02_品质等级'!$A$2:$A$6,0))</f>
        <v/>
      </c>
      <c r="I131" s="3">
        <f>INDEX('02_品质等级'!$H$2:$H$6,MATCH(C131,'02_品质等级'!$A$2:$A$6,0))</f>
        <v/>
      </c>
      <c r="J131" s="3">
        <f>E131*F131*G131*H131</f>
        <v/>
      </c>
      <c r="K131" s="3">
        <f>E131*F131*G131*I131</f>
        <v/>
      </c>
    </row>
    <row r="132">
      <c r="A132" s="2" t="inlineStr">
        <is>
          <t>生命百分比</t>
        </is>
      </c>
      <c r="B132" s="2" t="inlineStr">
        <is>
          <t>百分比</t>
        </is>
      </c>
      <c r="C132" s="2" t="inlineStr">
        <is>
          <t>绿</t>
        </is>
      </c>
      <c r="D132" s="2" t="n">
        <v>55</v>
      </c>
      <c r="E132" s="3">
        <f>INDEX('05_副属性基础'!$C$2:$C$11,MATCH(A132,'05_副属性基础'!$A$2:$A$11,0))</f>
        <v/>
      </c>
      <c r="F132" s="3">
        <f>INDEX('02_品质等级'!$D$2:$D$6,MATCH(C132,'02_品质等级'!$A$2:$A$6,0))</f>
        <v/>
      </c>
      <c r="G132" s="3">
        <f>INDEX('05_副属性基础'!$H$2:$H$13,MATCH(D132,'05_副属性基础'!$G$2:$G$13,0))</f>
        <v/>
      </c>
      <c r="H132" s="3">
        <f>INDEX('02_品质等级'!$G$2:$G$6,MATCH(C132,'02_品质等级'!$A$2:$A$6,0))</f>
        <v/>
      </c>
      <c r="I132" s="3">
        <f>INDEX('02_品质等级'!$H$2:$H$6,MATCH(C132,'02_品质等级'!$A$2:$A$6,0))</f>
        <v/>
      </c>
      <c r="J132" s="3">
        <f>E132*F132*G132*H132</f>
        <v/>
      </c>
      <c r="K132" s="3">
        <f>E132*F132*G132*I132</f>
        <v/>
      </c>
    </row>
    <row r="133">
      <c r="A133" s="2" t="inlineStr">
        <is>
          <t>生命百分比</t>
        </is>
      </c>
      <c r="B133" s="2" t="inlineStr">
        <is>
          <t>百分比</t>
        </is>
      </c>
      <c r="C133" s="2" t="inlineStr">
        <is>
          <t>绿</t>
        </is>
      </c>
      <c r="D133" s="2" t="n">
        <v>60</v>
      </c>
      <c r="E133" s="3">
        <f>INDEX('05_副属性基础'!$C$2:$C$11,MATCH(A133,'05_副属性基础'!$A$2:$A$11,0))</f>
        <v/>
      </c>
      <c r="F133" s="3">
        <f>INDEX('02_品质等级'!$D$2:$D$6,MATCH(C133,'02_品质等级'!$A$2:$A$6,0))</f>
        <v/>
      </c>
      <c r="G133" s="3">
        <f>INDEX('05_副属性基础'!$H$2:$H$13,MATCH(D133,'05_副属性基础'!$G$2:$G$13,0))</f>
        <v/>
      </c>
      <c r="H133" s="3">
        <f>INDEX('02_品质等级'!$G$2:$G$6,MATCH(C133,'02_品质等级'!$A$2:$A$6,0))</f>
        <v/>
      </c>
      <c r="I133" s="3">
        <f>INDEX('02_品质等级'!$H$2:$H$6,MATCH(C133,'02_品质等级'!$A$2:$A$6,0))</f>
        <v/>
      </c>
      <c r="J133" s="3">
        <f>E133*F133*G133*H133</f>
        <v/>
      </c>
      <c r="K133" s="3">
        <f>E133*F133*G133*I133</f>
        <v/>
      </c>
    </row>
    <row r="134">
      <c r="A134" s="2" t="inlineStr">
        <is>
          <t>生命百分比</t>
        </is>
      </c>
      <c r="B134" s="2" t="inlineStr">
        <is>
          <t>百分比</t>
        </is>
      </c>
      <c r="C134" s="2" t="inlineStr">
        <is>
          <t>蓝</t>
        </is>
      </c>
      <c r="D134" s="2" t="n">
        <v>5</v>
      </c>
      <c r="E134" s="3">
        <f>INDEX('05_副属性基础'!$C$2:$C$11,MATCH(A134,'05_副属性基础'!$A$2:$A$11,0))</f>
        <v/>
      </c>
      <c r="F134" s="3">
        <f>INDEX('02_品质等级'!$D$2:$D$6,MATCH(C134,'02_品质等级'!$A$2:$A$6,0))</f>
        <v/>
      </c>
      <c r="G134" s="3">
        <f>INDEX('05_副属性基础'!$H$2:$H$13,MATCH(D134,'05_副属性基础'!$G$2:$G$13,0))</f>
        <v/>
      </c>
      <c r="H134" s="3">
        <f>INDEX('02_品质等级'!$G$2:$G$6,MATCH(C134,'02_品质等级'!$A$2:$A$6,0))</f>
        <v/>
      </c>
      <c r="I134" s="3">
        <f>INDEX('02_品质等级'!$H$2:$H$6,MATCH(C134,'02_品质等级'!$A$2:$A$6,0))</f>
        <v/>
      </c>
      <c r="J134" s="3">
        <f>E134*F134*G134*H134</f>
        <v/>
      </c>
      <c r="K134" s="3">
        <f>E134*F134*G134*I134</f>
        <v/>
      </c>
    </row>
    <row r="135">
      <c r="A135" s="2" t="inlineStr">
        <is>
          <t>生命百分比</t>
        </is>
      </c>
      <c r="B135" s="2" t="inlineStr">
        <is>
          <t>百分比</t>
        </is>
      </c>
      <c r="C135" s="2" t="inlineStr">
        <is>
          <t>蓝</t>
        </is>
      </c>
      <c r="D135" s="2" t="n">
        <v>10</v>
      </c>
      <c r="E135" s="3">
        <f>INDEX('05_副属性基础'!$C$2:$C$11,MATCH(A135,'05_副属性基础'!$A$2:$A$11,0))</f>
        <v/>
      </c>
      <c r="F135" s="3">
        <f>INDEX('02_品质等级'!$D$2:$D$6,MATCH(C135,'02_品质等级'!$A$2:$A$6,0))</f>
        <v/>
      </c>
      <c r="G135" s="3">
        <f>INDEX('05_副属性基础'!$H$2:$H$13,MATCH(D135,'05_副属性基础'!$G$2:$G$13,0))</f>
        <v/>
      </c>
      <c r="H135" s="3">
        <f>INDEX('02_品质等级'!$G$2:$G$6,MATCH(C135,'02_品质等级'!$A$2:$A$6,0))</f>
        <v/>
      </c>
      <c r="I135" s="3">
        <f>INDEX('02_品质等级'!$H$2:$H$6,MATCH(C135,'02_品质等级'!$A$2:$A$6,0))</f>
        <v/>
      </c>
      <c r="J135" s="3">
        <f>E135*F135*G135*H135</f>
        <v/>
      </c>
      <c r="K135" s="3">
        <f>E135*F135*G135*I135</f>
        <v/>
      </c>
    </row>
    <row r="136">
      <c r="A136" s="2" t="inlineStr">
        <is>
          <t>生命百分比</t>
        </is>
      </c>
      <c r="B136" s="2" t="inlineStr">
        <is>
          <t>百分比</t>
        </is>
      </c>
      <c r="C136" s="2" t="inlineStr">
        <is>
          <t>蓝</t>
        </is>
      </c>
      <c r="D136" s="2" t="n">
        <v>15</v>
      </c>
      <c r="E136" s="3">
        <f>INDEX('05_副属性基础'!$C$2:$C$11,MATCH(A136,'05_副属性基础'!$A$2:$A$11,0))</f>
        <v/>
      </c>
      <c r="F136" s="3">
        <f>INDEX('02_品质等级'!$D$2:$D$6,MATCH(C136,'02_品质等级'!$A$2:$A$6,0))</f>
        <v/>
      </c>
      <c r="G136" s="3">
        <f>INDEX('05_副属性基础'!$H$2:$H$13,MATCH(D136,'05_副属性基础'!$G$2:$G$13,0))</f>
        <v/>
      </c>
      <c r="H136" s="3">
        <f>INDEX('02_品质等级'!$G$2:$G$6,MATCH(C136,'02_品质等级'!$A$2:$A$6,0))</f>
        <v/>
      </c>
      <c r="I136" s="3">
        <f>INDEX('02_品质等级'!$H$2:$H$6,MATCH(C136,'02_品质等级'!$A$2:$A$6,0))</f>
        <v/>
      </c>
      <c r="J136" s="3">
        <f>E136*F136*G136*H136</f>
        <v/>
      </c>
      <c r="K136" s="3">
        <f>E136*F136*G136*I136</f>
        <v/>
      </c>
    </row>
    <row r="137">
      <c r="A137" s="2" t="inlineStr">
        <is>
          <t>生命百分比</t>
        </is>
      </c>
      <c r="B137" s="2" t="inlineStr">
        <is>
          <t>百分比</t>
        </is>
      </c>
      <c r="C137" s="2" t="inlineStr">
        <is>
          <t>蓝</t>
        </is>
      </c>
      <c r="D137" s="2" t="n">
        <v>20</v>
      </c>
      <c r="E137" s="3">
        <f>INDEX('05_副属性基础'!$C$2:$C$11,MATCH(A137,'05_副属性基础'!$A$2:$A$11,0))</f>
        <v/>
      </c>
      <c r="F137" s="3">
        <f>INDEX('02_品质等级'!$D$2:$D$6,MATCH(C137,'02_品质等级'!$A$2:$A$6,0))</f>
        <v/>
      </c>
      <c r="G137" s="3">
        <f>INDEX('05_副属性基础'!$H$2:$H$13,MATCH(D137,'05_副属性基础'!$G$2:$G$13,0))</f>
        <v/>
      </c>
      <c r="H137" s="3">
        <f>INDEX('02_品质等级'!$G$2:$G$6,MATCH(C137,'02_品质等级'!$A$2:$A$6,0))</f>
        <v/>
      </c>
      <c r="I137" s="3">
        <f>INDEX('02_品质等级'!$H$2:$H$6,MATCH(C137,'02_品质等级'!$A$2:$A$6,0))</f>
        <v/>
      </c>
      <c r="J137" s="3">
        <f>E137*F137*G137*H137</f>
        <v/>
      </c>
      <c r="K137" s="3">
        <f>E137*F137*G137*I137</f>
        <v/>
      </c>
    </row>
    <row r="138">
      <c r="A138" s="2" t="inlineStr">
        <is>
          <t>生命百分比</t>
        </is>
      </c>
      <c r="B138" s="2" t="inlineStr">
        <is>
          <t>百分比</t>
        </is>
      </c>
      <c r="C138" s="2" t="inlineStr">
        <is>
          <t>蓝</t>
        </is>
      </c>
      <c r="D138" s="2" t="n">
        <v>25</v>
      </c>
      <c r="E138" s="3">
        <f>INDEX('05_副属性基础'!$C$2:$C$11,MATCH(A138,'05_副属性基础'!$A$2:$A$11,0))</f>
        <v/>
      </c>
      <c r="F138" s="3">
        <f>INDEX('02_品质等级'!$D$2:$D$6,MATCH(C138,'02_品质等级'!$A$2:$A$6,0))</f>
        <v/>
      </c>
      <c r="G138" s="3">
        <f>INDEX('05_副属性基础'!$H$2:$H$13,MATCH(D138,'05_副属性基础'!$G$2:$G$13,0))</f>
        <v/>
      </c>
      <c r="H138" s="3">
        <f>INDEX('02_品质等级'!$G$2:$G$6,MATCH(C138,'02_品质等级'!$A$2:$A$6,0))</f>
        <v/>
      </c>
      <c r="I138" s="3">
        <f>INDEX('02_品质等级'!$H$2:$H$6,MATCH(C138,'02_品质等级'!$A$2:$A$6,0))</f>
        <v/>
      </c>
      <c r="J138" s="3">
        <f>E138*F138*G138*H138</f>
        <v/>
      </c>
      <c r="K138" s="3">
        <f>E138*F138*G138*I138</f>
        <v/>
      </c>
    </row>
    <row r="139">
      <c r="A139" s="2" t="inlineStr">
        <is>
          <t>生命百分比</t>
        </is>
      </c>
      <c r="B139" s="2" t="inlineStr">
        <is>
          <t>百分比</t>
        </is>
      </c>
      <c r="C139" s="2" t="inlineStr">
        <is>
          <t>蓝</t>
        </is>
      </c>
      <c r="D139" s="2" t="n">
        <v>30</v>
      </c>
      <c r="E139" s="3">
        <f>INDEX('05_副属性基础'!$C$2:$C$11,MATCH(A139,'05_副属性基础'!$A$2:$A$11,0))</f>
        <v/>
      </c>
      <c r="F139" s="3">
        <f>INDEX('02_品质等级'!$D$2:$D$6,MATCH(C139,'02_品质等级'!$A$2:$A$6,0))</f>
        <v/>
      </c>
      <c r="G139" s="3">
        <f>INDEX('05_副属性基础'!$H$2:$H$13,MATCH(D139,'05_副属性基础'!$G$2:$G$13,0))</f>
        <v/>
      </c>
      <c r="H139" s="3">
        <f>INDEX('02_品质等级'!$G$2:$G$6,MATCH(C139,'02_品质等级'!$A$2:$A$6,0))</f>
        <v/>
      </c>
      <c r="I139" s="3">
        <f>INDEX('02_品质等级'!$H$2:$H$6,MATCH(C139,'02_品质等级'!$A$2:$A$6,0))</f>
        <v/>
      </c>
      <c r="J139" s="3">
        <f>E139*F139*G139*H139</f>
        <v/>
      </c>
      <c r="K139" s="3">
        <f>E139*F139*G139*I139</f>
        <v/>
      </c>
    </row>
    <row r="140">
      <c r="A140" s="2" t="inlineStr">
        <is>
          <t>生命百分比</t>
        </is>
      </c>
      <c r="B140" s="2" t="inlineStr">
        <is>
          <t>百分比</t>
        </is>
      </c>
      <c r="C140" s="2" t="inlineStr">
        <is>
          <t>蓝</t>
        </is>
      </c>
      <c r="D140" s="2" t="n">
        <v>35</v>
      </c>
      <c r="E140" s="3">
        <f>INDEX('05_副属性基础'!$C$2:$C$11,MATCH(A140,'05_副属性基础'!$A$2:$A$11,0))</f>
        <v/>
      </c>
      <c r="F140" s="3">
        <f>INDEX('02_品质等级'!$D$2:$D$6,MATCH(C140,'02_品质等级'!$A$2:$A$6,0))</f>
        <v/>
      </c>
      <c r="G140" s="3">
        <f>INDEX('05_副属性基础'!$H$2:$H$13,MATCH(D140,'05_副属性基础'!$G$2:$G$13,0))</f>
        <v/>
      </c>
      <c r="H140" s="3">
        <f>INDEX('02_品质等级'!$G$2:$G$6,MATCH(C140,'02_品质等级'!$A$2:$A$6,0))</f>
        <v/>
      </c>
      <c r="I140" s="3">
        <f>INDEX('02_品质等级'!$H$2:$H$6,MATCH(C140,'02_品质等级'!$A$2:$A$6,0))</f>
        <v/>
      </c>
      <c r="J140" s="3">
        <f>E140*F140*G140*H140</f>
        <v/>
      </c>
      <c r="K140" s="3">
        <f>E140*F140*G140*I140</f>
        <v/>
      </c>
    </row>
    <row r="141">
      <c r="A141" s="2" t="inlineStr">
        <is>
          <t>生命百分比</t>
        </is>
      </c>
      <c r="B141" s="2" t="inlineStr">
        <is>
          <t>百分比</t>
        </is>
      </c>
      <c r="C141" s="2" t="inlineStr">
        <is>
          <t>蓝</t>
        </is>
      </c>
      <c r="D141" s="2" t="n">
        <v>40</v>
      </c>
      <c r="E141" s="3">
        <f>INDEX('05_副属性基础'!$C$2:$C$11,MATCH(A141,'05_副属性基础'!$A$2:$A$11,0))</f>
        <v/>
      </c>
      <c r="F141" s="3">
        <f>INDEX('02_品质等级'!$D$2:$D$6,MATCH(C141,'02_品质等级'!$A$2:$A$6,0))</f>
        <v/>
      </c>
      <c r="G141" s="3">
        <f>INDEX('05_副属性基础'!$H$2:$H$13,MATCH(D141,'05_副属性基础'!$G$2:$G$13,0))</f>
        <v/>
      </c>
      <c r="H141" s="3">
        <f>INDEX('02_品质等级'!$G$2:$G$6,MATCH(C141,'02_品质等级'!$A$2:$A$6,0))</f>
        <v/>
      </c>
      <c r="I141" s="3">
        <f>INDEX('02_品质等级'!$H$2:$H$6,MATCH(C141,'02_品质等级'!$A$2:$A$6,0))</f>
        <v/>
      </c>
      <c r="J141" s="3">
        <f>E141*F141*G141*H141</f>
        <v/>
      </c>
      <c r="K141" s="3">
        <f>E141*F141*G141*I141</f>
        <v/>
      </c>
    </row>
    <row r="142">
      <c r="A142" s="2" t="inlineStr">
        <is>
          <t>生命百分比</t>
        </is>
      </c>
      <c r="B142" s="2" t="inlineStr">
        <is>
          <t>百分比</t>
        </is>
      </c>
      <c r="C142" s="2" t="inlineStr">
        <is>
          <t>蓝</t>
        </is>
      </c>
      <c r="D142" s="2" t="n">
        <v>45</v>
      </c>
      <c r="E142" s="3">
        <f>INDEX('05_副属性基础'!$C$2:$C$11,MATCH(A142,'05_副属性基础'!$A$2:$A$11,0))</f>
        <v/>
      </c>
      <c r="F142" s="3">
        <f>INDEX('02_品质等级'!$D$2:$D$6,MATCH(C142,'02_品质等级'!$A$2:$A$6,0))</f>
        <v/>
      </c>
      <c r="G142" s="3">
        <f>INDEX('05_副属性基础'!$H$2:$H$13,MATCH(D142,'05_副属性基础'!$G$2:$G$13,0))</f>
        <v/>
      </c>
      <c r="H142" s="3">
        <f>INDEX('02_品质等级'!$G$2:$G$6,MATCH(C142,'02_品质等级'!$A$2:$A$6,0))</f>
        <v/>
      </c>
      <c r="I142" s="3">
        <f>INDEX('02_品质等级'!$H$2:$H$6,MATCH(C142,'02_品质等级'!$A$2:$A$6,0))</f>
        <v/>
      </c>
      <c r="J142" s="3">
        <f>E142*F142*G142*H142</f>
        <v/>
      </c>
      <c r="K142" s="3">
        <f>E142*F142*G142*I142</f>
        <v/>
      </c>
    </row>
    <row r="143">
      <c r="A143" s="2" t="inlineStr">
        <is>
          <t>生命百分比</t>
        </is>
      </c>
      <c r="B143" s="2" t="inlineStr">
        <is>
          <t>百分比</t>
        </is>
      </c>
      <c r="C143" s="2" t="inlineStr">
        <is>
          <t>蓝</t>
        </is>
      </c>
      <c r="D143" s="2" t="n">
        <v>50</v>
      </c>
      <c r="E143" s="3">
        <f>INDEX('05_副属性基础'!$C$2:$C$11,MATCH(A143,'05_副属性基础'!$A$2:$A$11,0))</f>
        <v/>
      </c>
      <c r="F143" s="3">
        <f>INDEX('02_品质等级'!$D$2:$D$6,MATCH(C143,'02_品质等级'!$A$2:$A$6,0))</f>
        <v/>
      </c>
      <c r="G143" s="3">
        <f>INDEX('05_副属性基础'!$H$2:$H$13,MATCH(D143,'05_副属性基础'!$G$2:$G$13,0))</f>
        <v/>
      </c>
      <c r="H143" s="3">
        <f>INDEX('02_品质等级'!$G$2:$G$6,MATCH(C143,'02_品质等级'!$A$2:$A$6,0))</f>
        <v/>
      </c>
      <c r="I143" s="3">
        <f>INDEX('02_品质等级'!$H$2:$H$6,MATCH(C143,'02_品质等级'!$A$2:$A$6,0))</f>
        <v/>
      </c>
      <c r="J143" s="3">
        <f>E143*F143*G143*H143</f>
        <v/>
      </c>
      <c r="K143" s="3">
        <f>E143*F143*G143*I143</f>
        <v/>
      </c>
    </row>
    <row r="144">
      <c r="A144" s="2" t="inlineStr">
        <is>
          <t>生命百分比</t>
        </is>
      </c>
      <c r="B144" s="2" t="inlineStr">
        <is>
          <t>百分比</t>
        </is>
      </c>
      <c r="C144" s="2" t="inlineStr">
        <is>
          <t>蓝</t>
        </is>
      </c>
      <c r="D144" s="2" t="n">
        <v>55</v>
      </c>
      <c r="E144" s="3">
        <f>INDEX('05_副属性基础'!$C$2:$C$11,MATCH(A144,'05_副属性基础'!$A$2:$A$11,0))</f>
        <v/>
      </c>
      <c r="F144" s="3">
        <f>INDEX('02_品质等级'!$D$2:$D$6,MATCH(C144,'02_品质等级'!$A$2:$A$6,0))</f>
        <v/>
      </c>
      <c r="G144" s="3">
        <f>INDEX('05_副属性基础'!$H$2:$H$13,MATCH(D144,'05_副属性基础'!$G$2:$G$13,0))</f>
        <v/>
      </c>
      <c r="H144" s="3">
        <f>INDEX('02_品质等级'!$G$2:$G$6,MATCH(C144,'02_品质等级'!$A$2:$A$6,0))</f>
        <v/>
      </c>
      <c r="I144" s="3">
        <f>INDEX('02_品质等级'!$H$2:$H$6,MATCH(C144,'02_品质等级'!$A$2:$A$6,0))</f>
        <v/>
      </c>
      <c r="J144" s="3">
        <f>E144*F144*G144*H144</f>
        <v/>
      </c>
      <c r="K144" s="3">
        <f>E144*F144*G144*I144</f>
        <v/>
      </c>
    </row>
    <row r="145">
      <c r="A145" s="2" t="inlineStr">
        <is>
          <t>生命百分比</t>
        </is>
      </c>
      <c r="B145" s="2" t="inlineStr">
        <is>
          <t>百分比</t>
        </is>
      </c>
      <c r="C145" s="2" t="inlineStr">
        <is>
          <t>蓝</t>
        </is>
      </c>
      <c r="D145" s="2" t="n">
        <v>60</v>
      </c>
      <c r="E145" s="3">
        <f>INDEX('05_副属性基础'!$C$2:$C$11,MATCH(A145,'05_副属性基础'!$A$2:$A$11,0))</f>
        <v/>
      </c>
      <c r="F145" s="3">
        <f>INDEX('02_品质等级'!$D$2:$D$6,MATCH(C145,'02_品质等级'!$A$2:$A$6,0))</f>
        <v/>
      </c>
      <c r="G145" s="3">
        <f>INDEX('05_副属性基础'!$H$2:$H$13,MATCH(D145,'05_副属性基础'!$G$2:$G$13,0))</f>
        <v/>
      </c>
      <c r="H145" s="3">
        <f>INDEX('02_品质等级'!$G$2:$G$6,MATCH(C145,'02_品质等级'!$A$2:$A$6,0))</f>
        <v/>
      </c>
      <c r="I145" s="3">
        <f>INDEX('02_品质等级'!$H$2:$H$6,MATCH(C145,'02_品质等级'!$A$2:$A$6,0))</f>
        <v/>
      </c>
      <c r="J145" s="3">
        <f>E145*F145*G145*H145</f>
        <v/>
      </c>
      <c r="K145" s="3">
        <f>E145*F145*G145*I145</f>
        <v/>
      </c>
    </row>
    <row r="146">
      <c r="A146" s="2" t="inlineStr">
        <is>
          <t>生命百分比</t>
        </is>
      </c>
      <c r="B146" s="2" t="inlineStr">
        <is>
          <t>百分比</t>
        </is>
      </c>
      <c r="C146" s="2" t="inlineStr">
        <is>
          <t>紫</t>
        </is>
      </c>
      <c r="D146" s="2" t="n">
        <v>5</v>
      </c>
      <c r="E146" s="3">
        <f>INDEX('05_副属性基础'!$C$2:$C$11,MATCH(A146,'05_副属性基础'!$A$2:$A$11,0))</f>
        <v/>
      </c>
      <c r="F146" s="3">
        <f>INDEX('02_品质等级'!$D$2:$D$6,MATCH(C146,'02_品质等级'!$A$2:$A$6,0))</f>
        <v/>
      </c>
      <c r="G146" s="3">
        <f>INDEX('05_副属性基础'!$H$2:$H$13,MATCH(D146,'05_副属性基础'!$G$2:$G$13,0))</f>
        <v/>
      </c>
      <c r="H146" s="3">
        <f>INDEX('02_品质等级'!$G$2:$G$6,MATCH(C146,'02_品质等级'!$A$2:$A$6,0))</f>
        <v/>
      </c>
      <c r="I146" s="3">
        <f>INDEX('02_品质等级'!$H$2:$H$6,MATCH(C146,'02_品质等级'!$A$2:$A$6,0))</f>
        <v/>
      </c>
      <c r="J146" s="3">
        <f>E146*F146*G146*H146</f>
        <v/>
      </c>
      <c r="K146" s="3">
        <f>E146*F146*G146*I146</f>
        <v/>
      </c>
    </row>
    <row r="147">
      <c r="A147" s="2" t="inlineStr">
        <is>
          <t>生命百分比</t>
        </is>
      </c>
      <c r="B147" s="2" t="inlineStr">
        <is>
          <t>百分比</t>
        </is>
      </c>
      <c r="C147" s="2" t="inlineStr">
        <is>
          <t>紫</t>
        </is>
      </c>
      <c r="D147" s="2" t="n">
        <v>10</v>
      </c>
      <c r="E147" s="3">
        <f>INDEX('05_副属性基础'!$C$2:$C$11,MATCH(A147,'05_副属性基础'!$A$2:$A$11,0))</f>
        <v/>
      </c>
      <c r="F147" s="3">
        <f>INDEX('02_品质等级'!$D$2:$D$6,MATCH(C147,'02_品质等级'!$A$2:$A$6,0))</f>
        <v/>
      </c>
      <c r="G147" s="3">
        <f>INDEX('05_副属性基础'!$H$2:$H$13,MATCH(D147,'05_副属性基础'!$G$2:$G$13,0))</f>
        <v/>
      </c>
      <c r="H147" s="3">
        <f>INDEX('02_品质等级'!$G$2:$G$6,MATCH(C147,'02_品质等级'!$A$2:$A$6,0))</f>
        <v/>
      </c>
      <c r="I147" s="3">
        <f>INDEX('02_品质等级'!$H$2:$H$6,MATCH(C147,'02_品质等级'!$A$2:$A$6,0))</f>
        <v/>
      </c>
      <c r="J147" s="3">
        <f>E147*F147*G147*H147</f>
        <v/>
      </c>
      <c r="K147" s="3">
        <f>E147*F147*G147*I147</f>
        <v/>
      </c>
    </row>
    <row r="148">
      <c r="A148" s="2" t="inlineStr">
        <is>
          <t>生命百分比</t>
        </is>
      </c>
      <c r="B148" s="2" t="inlineStr">
        <is>
          <t>百分比</t>
        </is>
      </c>
      <c r="C148" s="2" t="inlineStr">
        <is>
          <t>紫</t>
        </is>
      </c>
      <c r="D148" s="2" t="n">
        <v>15</v>
      </c>
      <c r="E148" s="3">
        <f>INDEX('05_副属性基础'!$C$2:$C$11,MATCH(A148,'05_副属性基础'!$A$2:$A$11,0))</f>
        <v/>
      </c>
      <c r="F148" s="3">
        <f>INDEX('02_品质等级'!$D$2:$D$6,MATCH(C148,'02_品质等级'!$A$2:$A$6,0))</f>
        <v/>
      </c>
      <c r="G148" s="3">
        <f>INDEX('05_副属性基础'!$H$2:$H$13,MATCH(D148,'05_副属性基础'!$G$2:$G$13,0))</f>
        <v/>
      </c>
      <c r="H148" s="3">
        <f>INDEX('02_品质等级'!$G$2:$G$6,MATCH(C148,'02_品质等级'!$A$2:$A$6,0))</f>
        <v/>
      </c>
      <c r="I148" s="3">
        <f>INDEX('02_品质等级'!$H$2:$H$6,MATCH(C148,'02_品质等级'!$A$2:$A$6,0))</f>
        <v/>
      </c>
      <c r="J148" s="3">
        <f>E148*F148*G148*H148</f>
        <v/>
      </c>
      <c r="K148" s="3">
        <f>E148*F148*G148*I148</f>
        <v/>
      </c>
    </row>
    <row r="149">
      <c r="A149" s="2" t="inlineStr">
        <is>
          <t>生命百分比</t>
        </is>
      </c>
      <c r="B149" s="2" t="inlineStr">
        <is>
          <t>百分比</t>
        </is>
      </c>
      <c r="C149" s="2" t="inlineStr">
        <is>
          <t>紫</t>
        </is>
      </c>
      <c r="D149" s="2" t="n">
        <v>20</v>
      </c>
      <c r="E149" s="3">
        <f>INDEX('05_副属性基础'!$C$2:$C$11,MATCH(A149,'05_副属性基础'!$A$2:$A$11,0))</f>
        <v/>
      </c>
      <c r="F149" s="3">
        <f>INDEX('02_品质等级'!$D$2:$D$6,MATCH(C149,'02_品质等级'!$A$2:$A$6,0))</f>
        <v/>
      </c>
      <c r="G149" s="3">
        <f>INDEX('05_副属性基础'!$H$2:$H$13,MATCH(D149,'05_副属性基础'!$G$2:$G$13,0))</f>
        <v/>
      </c>
      <c r="H149" s="3">
        <f>INDEX('02_品质等级'!$G$2:$G$6,MATCH(C149,'02_品质等级'!$A$2:$A$6,0))</f>
        <v/>
      </c>
      <c r="I149" s="3">
        <f>INDEX('02_品质等级'!$H$2:$H$6,MATCH(C149,'02_品质等级'!$A$2:$A$6,0))</f>
        <v/>
      </c>
      <c r="J149" s="3">
        <f>E149*F149*G149*H149</f>
        <v/>
      </c>
      <c r="K149" s="3">
        <f>E149*F149*G149*I149</f>
        <v/>
      </c>
    </row>
    <row r="150">
      <c r="A150" s="2" t="inlineStr">
        <is>
          <t>生命百分比</t>
        </is>
      </c>
      <c r="B150" s="2" t="inlineStr">
        <is>
          <t>百分比</t>
        </is>
      </c>
      <c r="C150" s="2" t="inlineStr">
        <is>
          <t>紫</t>
        </is>
      </c>
      <c r="D150" s="2" t="n">
        <v>25</v>
      </c>
      <c r="E150" s="3">
        <f>INDEX('05_副属性基础'!$C$2:$C$11,MATCH(A150,'05_副属性基础'!$A$2:$A$11,0))</f>
        <v/>
      </c>
      <c r="F150" s="3">
        <f>INDEX('02_品质等级'!$D$2:$D$6,MATCH(C150,'02_品质等级'!$A$2:$A$6,0))</f>
        <v/>
      </c>
      <c r="G150" s="3">
        <f>INDEX('05_副属性基础'!$H$2:$H$13,MATCH(D150,'05_副属性基础'!$G$2:$G$13,0))</f>
        <v/>
      </c>
      <c r="H150" s="3">
        <f>INDEX('02_品质等级'!$G$2:$G$6,MATCH(C150,'02_品质等级'!$A$2:$A$6,0))</f>
        <v/>
      </c>
      <c r="I150" s="3">
        <f>INDEX('02_品质等级'!$H$2:$H$6,MATCH(C150,'02_品质等级'!$A$2:$A$6,0))</f>
        <v/>
      </c>
      <c r="J150" s="3">
        <f>E150*F150*G150*H150</f>
        <v/>
      </c>
      <c r="K150" s="3">
        <f>E150*F150*G150*I150</f>
        <v/>
      </c>
    </row>
    <row r="151">
      <c r="A151" s="2" t="inlineStr">
        <is>
          <t>生命百分比</t>
        </is>
      </c>
      <c r="B151" s="2" t="inlineStr">
        <is>
          <t>百分比</t>
        </is>
      </c>
      <c r="C151" s="2" t="inlineStr">
        <is>
          <t>紫</t>
        </is>
      </c>
      <c r="D151" s="2" t="n">
        <v>30</v>
      </c>
      <c r="E151" s="3">
        <f>INDEX('05_副属性基础'!$C$2:$C$11,MATCH(A151,'05_副属性基础'!$A$2:$A$11,0))</f>
        <v/>
      </c>
      <c r="F151" s="3">
        <f>INDEX('02_品质等级'!$D$2:$D$6,MATCH(C151,'02_品质等级'!$A$2:$A$6,0))</f>
        <v/>
      </c>
      <c r="G151" s="3">
        <f>INDEX('05_副属性基础'!$H$2:$H$13,MATCH(D151,'05_副属性基础'!$G$2:$G$13,0))</f>
        <v/>
      </c>
      <c r="H151" s="3">
        <f>INDEX('02_品质等级'!$G$2:$G$6,MATCH(C151,'02_品质等级'!$A$2:$A$6,0))</f>
        <v/>
      </c>
      <c r="I151" s="3">
        <f>INDEX('02_品质等级'!$H$2:$H$6,MATCH(C151,'02_品质等级'!$A$2:$A$6,0))</f>
        <v/>
      </c>
      <c r="J151" s="3">
        <f>E151*F151*G151*H151</f>
        <v/>
      </c>
      <c r="K151" s="3">
        <f>E151*F151*G151*I151</f>
        <v/>
      </c>
    </row>
    <row r="152">
      <c r="A152" s="2" t="inlineStr">
        <is>
          <t>生命百分比</t>
        </is>
      </c>
      <c r="B152" s="2" t="inlineStr">
        <is>
          <t>百分比</t>
        </is>
      </c>
      <c r="C152" s="2" t="inlineStr">
        <is>
          <t>紫</t>
        </is>
      </c>
      <c r="D152" s="2" t="n">
        <v>35</v>
      </c>
      <c r="E152" s="3">
        <f>INDEX('05_副属性基础'!$C$2:$C$11,MATCH(A152,'05_副属性基础'!$A$2:$A$11,0))</f>
        <v/>
      </c>
      <c r="F152" s="3">
        <f>INDEX('02_品质等级'!$D$2:$D$6,MATCH(C152,'02_品质等级'!$A$2:$A$6,0))</f>
        <v/>
      </c>
      <c r="G152" s="3">
        <f>INDEX('05_副属性基础'!$H$2:$H$13,MATCH(D152,'05_副属性基础'!$G$2:$G$13,0))</f>
        <v/>
      </c>
      <c r="H152" s="3">
        <f>INDEX('02_品质等级'!$G$2:$G$6,MATCH(C152,'02_品质等级'!$A$2:$A$6,0))</f>
        <v/>
      </c>
      <c r="I152" s="3">
        <f>INDEX('02_品质等级'!$H$2:$H$6,MATCH(C152,'02_品质等级'!$A$2:$A$6,0))</f>
        <v/>
      </c>
      <c r="J152" s="3">
        <f>E152*F152*G152*H152</f>
        <v/>
      </c>
      <c r="K152" s="3">
        <f>E152*F152*G152*I152</f>
        <v/>
      </c>
    </row>
    <row r="153">
      <c r="A153" s="2" t="inlineStr">
        <is>
          <t>生命百分比</t>
        </is>
      </c>
      <c r="B153" s="2" t="inlineStr">
        <is>
          <t>百分比</t>
        </is>
      </c>
      <c r="C153" s="2" t="inlineStr">
        <is>
          <t>紫</t>
        </is>
      </c>
      <c r="D153" s="2" t="n">
        <v>40</v>
      </c>
      <c r="E153" s="3">
        <f>INDEX('05_副属性基础'!$C$2:$C$11,MATCH(A153,'05_副属性基础'!$A$2:$A$11,0))</f>
        <v/>
      </c>
      <c r="F153" s="3">
        <f>INDEX('02_品质等级'!$D$2:$D$6,MATCH(C153,'02_品质等级'!$A$2:$A$6,0))</f>
        <v/>
      </c>
      <c r="G153" s="3">
        <f>INDEX('05_副属性基础'!$H$2:$H$13,MATCH(D153,'05_副属性基础'!$G$2:$G$13,0))</f>
        <v/>
      </c>
      <c r="H153" s="3">
        <f>INDEX('02_品质等级'!$G$2:$G$6,MATCH(C153,'02_品质等级'!$A$2:$A$6,0))</f>
        <v/>
      </c>
      <c r="I153" s="3">
        <f>INDEX('02_品质等级'!$H$2:$H$6,MATCH(C153,'02_品质等级'!$A$2:$A$6,0))</f>
        <v/>
      </c>
      <c r="J153" s="3">
        <f>E153*F153*G153*H153</f>
        <v/>
      </c>
      <c r="K153" s="3">
        <f>E153*F153*G153*I153</f>
        <v/>
      </c>
    </row>
    <row r="154">
      <c r="A154" s="2" t="inlineStr">
        <is>
          <t>生命百分比</t>
        </is>
      </c>
      <c r="B154" s="2" t="inlineStr">
        <is>
          <t>百分比</t>
        </is>
      </c>
      <c r="C154" s="2" t="inlineStr">
        <is>
          <t>紫</t>
        </is>
      </c>
      <c r="D154" s="2" t="n">
        <v>45</v>
      </c>
      <c r="E154" s="3">
        <f>INDEX('05_副属性基础'!$C$2:$C$11,MATCH(A154,'05_副属性基础'!$A$2:$A$11,0))</f>
        <v/>
      </c>
      <c r="F154" s="3">
        <f>INDEX('02_品质等级'!$D$2:$D$6,MATCH(C154,'02_品质等级'!$A$2:$A$6,0))</f>
        <v/>
      </c>
      <c r="G154" s="3">
        <f>INDEX('05_副属性基础'!$H$2:$H$13,MATCH(D154,'05_副属性基础'!$G$2:$G$13,0))</f>
        <v/>
      </c>
      <c r="H154" s="3">
        <f>INDEX('02_品质等级'!$G$2:$G$6,MATCH(C154,'02_品质等级'!$A$2:$A$6,0))</f>
        <v/>
      </c>
      <c r="I154" s="3">
        <f>INDEX('02_品质等级'!$H$2:$H$6,MATCH(C154,'02_品质等级'!$A$2:$A$6,0))</f>
        <v/>
      </c>
      <c r="J154" s="3">
        <f>E154*F154*G154*H154</f>
        <v/>
      </c>
      <c r="K154" s="3">
        <f>E154*F154*G154*I154</f>
        <v/>
      </c>
    </row>
    <row r="155">
      <c r="A155" s="2" t="inlineStr">
        <is>
          <t>生命百分比</t>
        </is>
      </c>
      <c r="B155" s="2" t="inlineStr">
        <is>
          <t>百分比</t>
        </is>
      </c>
      <c r="C155" s="2" t="inlineStr">
        <is>
          <t>紫</t>
        </is>
      </c>
      <c r="D155" s="2" t="n">
        <v>50</v>
      </c>
      <c r="E155" s="3">
        <f>INDEX('05_副属性基础'!$C$2:$C$11,MATCH(A155,'05_副属性基础'!$A$2:$A$11,0))</f>
        <v/>
      </c>
      <c r="F155" s="3">
        <f>INDEX('02_品质等级'!$D$2:$D$6,MATCH(C155,'02_品质等级'!$A$2:$A$6,0))</f>
        <v/>
      </c>
      <c r="G155" s="3">
        <f>INDEX('05_副属性基础'!$H$2:$H$13,MATCH(D155,'05_副属性基础'!$G$2:$G$13,0))</f>
        <v/>
      </c>
      <c r="H155" s="3">
        <f>INDEX('02_品质等级'!$G$2:$G$6,MATCH(C155,'02_品质等级'!$A$2:$A$6,0))</f>
        <v/>
      </c>
      <c r="I155" s="3">
        <f>INDEX('02_品质等级'!$H$2:$H$6,MATCH(C155,'02_品质等级'!$A$2:$A$6,0))</f>
        <v/>
      </c>
      <c r="J155" s="3">
        <f>E155*F155*G155*H155</f>
        <v/>
      </c>
      <c r="K155" s="3">
        <f>E155*F155*G155*I155</f>
        <v/>
      </c>
    </row>
    <row r="156">
      <c r="A156" s="2" t="inlineStr">
        <is>
          <t>生命百分比</t>
        </is>
      </c>
      <c r="B156" s="2" t="inlineStr">
        <is>
          <t>百分比</t>
        </is>
      </c>
      <c r="C156" s="2" t="inlineStr">
        <is>
          <t>紫</t>
        </is>
      </c>
      <c r="D156" s="2" t="n">
        <v>55</v>
      </c>
      <c r="E156" s="3">
        <f>INDEX('05_副属性基础'!$C$2:$C$11,MATCH(A156,'05_副属性基础'!$A$2:$A$11,0))</f>
        <v/>
      </c>
      <c r="F156" s="3">
        <f>INDEX('02_品质等级'!$D$2:$D$6,MATCH(C156,'02_品质等级'!$A$2:$A$6,0))</f>
        <v/>
      </c>
      <c r="G156" s="3">
        <f>INDEX('05_副属性基础'!$H$2:$H$13,MATCH(D156,'05_副属性基础'!$G$2:$G$13,0))</f>
        <v/>
      </c>
      <c r="H156" s="3">
        <f>INDEX('02_品质等级'!$G$2:$G$6,MATCH(C156,'02_品质等级'!$A$2:$A$6,0))</f>
        <v/>
      </c>
      <c r="I156" s="3">
        <f>INDEX('02_品质等级'!$H$2:$H$6,MATCH(C156,'02_品质等级'!$A$2:$A$6,0))</f>
        <v/>
      </c>
      <c r="J156" s="3">
        <f>E156*F156*G156*H156</f>
        <v/>
      </c>
      <c r="K156" s="3">
        <f>E156*F156*G156*I156</f>
        <v/>
      </c>
    </row>
    <row r="157">
      <c r="A157" s="2" t="inlineStr">
        <is>
          <t>生命百分比</t>
        </is>
      </c>
      <c r="B157" s="2" t="inlineStr">
        <is>
          <t>百分比</t>
        </is>
      </c>
      <c r="C157" s="2" t="inlineStr">
        <is>
          <t>紫</t>
        </is>
      </c>
      <c r="D157" s="2" t="n">
        <v>60</v>
      </c>
      <c r="E157" s="3">
        <f>INDEX('05_副属性基础'!$C$2:$C$11,MATCH(A157,'05_副属性基础'!$A$2:$A$11,0))</f>
        <v/>
      </c>
      <c r="F157" s="3">
        <f>INDEX('02_品质等级'!$D$2:$D$6,MATCH(C157,'02_品质等级'!$A$2:$A$6,0))</f>
        <v/>
      </c>
      <c r="G157" s="3">
        <f>INDEX('05_副属性基础'!$H$2:$H$13,MATCH(D157,'05_副属性基础'!$G$2:$G$13,0))</f>
        <v/>
      </c>
      <c r="H157" s="3">
        <f>INDEX('02_品质等级'!$G$2:$G$6,MATCH(C157,'02_品质等级'!$A$2:$A$6,0))</f>
        <v/>
      </c>
      <c r="I157" s="3">
        <f>INDEX('02_品质等级'!$H$2:$H$6,MATCH(C157,'02_品质等级'!$A$2:$A$6,0))</f>
        <v/>
      </c>
      <c r="J157" s="3">
        <f>E157*F157*G157*H157</f>
        <v/>
      </c>
      <c r="K157" s="3">
        <f>E157*F157*G157*I157</f>
        <v/>
      </c>
    </row>
    <row r="158">
      <c r="A158" s="2" t="inlineStr">
        <is>
          <t>生命百分比</t>
        </is>
      </c>
      <c r="B158" s="2" t="inlineStr">
        <is>
          <t>百分比</t>
        </is>
      </c>
      <c r="C158" s="2" t="inlineStr">
        <is>
          <t>金</t>
        </is>
      </c>
      <c r="D158" s="2" t="n">
        <v>5</v>
      </c>
      <c r="E158" s="3">
        <f>INDEX('05_副属性基础'!$C$2:$C$11,MATCH(A158,'05_副属性基础'!$A$2:$A$11,0))</f>
        <v/>
      </c>
      <c r="F158" s="3">
        <f>INDEX('02_品质等级'!$D$2:$D$6,MATCH(C158,'02_品质等级'!$A$2:$A$6,0))</f>
        <v/>
      </c>
      <c r="G158" s="3">
        <f>INDEX('05_副属性基础'!$H$2:$H$13,MATCH(D158,'05_副属性基础'!$G$2:$G$13,0))</f>
        <v/>
      </c>
      <c r="H158" s="3">
        <f>INDEX('02_品质等级'!$G$2:$G$6,MATCH(C158,'02_品质等级'!$A$2:$A$6,0))</f>
        <v/>
      </c>
      <c r="I158" s="3">
        <f>INDEX('02_品质等级'!$H$2:$H$6,MATCH(C158,'02_品质等级'!$A$2:$A$6,0))</f>
        <v/>
      </c>
      <c r="J158" s="3">
        <f>E158*F158*G158*H158</f>
        <v/>
      </c>
      <c r="K158" s="3">
        <f>E158*F158*G158*I158</f>
        <v/>
      </c>
    </row>
    <row r="159">
      <c r="A159" s="2" t="inlineStr">
        <is>
          <t>生命百分比</t>
        </is>
      </c>
      <c r="B159" s="2" t="inlineStr">
        <is>
          <t>百分比</t>
        </is>
      </c>
      <c r="C159" s="2" t="inlineStr">
        <is>
          <t>金</t>
        </is>
      </c>
      <c r="D159" s="2" t="n">
        <v>10</v>
      </c>
      <c r="E159" s="3">
        <f>INDEX('05_副属性基础'!$C$2:$C$11,MATCH(A159,'05_副属性基础'!$A$2:$A$11,0))</f>
        <v/>
      </c>
      <c r="F159" s="3">
        <f>INDEX('02_品质等级'!$D$2:$D$6,MATCH(C159,'02_品质等级'!$A$2:$A$6,0))</f>
        <v/>
      </c>
      <c r="G159" s="3">
        <f>INDEX('05_副属性基础'!$H$2:$H$13,MATCH(D159,'05_副属性基础'!$G$2:$G$13,0))</f>
        <v/>
      </c>
      <c r="H159" s="3">
        <f>INDEX('02_品质等级'!$G$2:$G$6,MATCH(C159,'02_品质等级'!$A$2:$A$6,0))</f>
        <v/>
      </c>
      <c r="I159" s="3">
        <f>INDEX('02_品质等级'!$H$2:$H$6,MATCH(C159,'02_品质等级'!$A$2:$A$6,0))</f>
        <v/>
      </c>
      <c r="J159" s="3">
        <f>E159*F159*G159*H159</f>
        <v/>
      </c>
      <c r="K159" s="3">
        <f>E159*F159*G159*I159</f>
        <v/>
      </c>
    </row>
    <row r="160">
      <c r="A160" s="2" t="inlineStr">
        <is>
          <t>生命百分比</t>
        </is>
      </c>
      <c r="B160" s="2" t="inlineStr">
        <is>
          <t>百分比</t>
        </is>
      </c>
      <c r="C160" s="2" t="inlineStr">
        <is>
          <t>金</t>
        </is>
      </c>
      <c r="D160" s="2" t="n">
        <v>15</v>
      </c>
      <c r="E160" s="3">
        <f>INDEX('05_副属性基础'!$C$2:$C$11,MATCH(A160,'05_副属性基础'!$A$2:$A$11,0))</f>
        <v/>
      </c>
      <c r="F160" s="3">
        <f>INDEX('02_品质等级'!$D$2:$D$6,MATCH(C160,'02_品质等级'!$A$2:$A$6,0))</f>
        <v/>
      </c>
      <c r="G160" s="3">
        <f>INDEX('05_副属性基础'!$H$2:$H$13,MATCH(D160,'05_副属性基础'!$G$2:$G$13,0))</f>
        <v/>
      </c>
      <c r="H160" s="3">
        <f>INDEX('02_品质等级'!$G$2:$G$6,MATCH(C160,'02_品质等级'!$A$2:$A$6,0))</f>
        <v/>
      </c>
      <c r="I160" s="3">
        <f>INDEX('02_品质等级'!$H$2:$H$6,MATCH(C160,'02_品质等级'!$A$2:$A$6,0))</f>
        <v/>
      </c>
      <c r="J160" s="3">
        <f>E160*F160*G160*H160</f>
        <v/>
      </c>
      <c r="K160" s="3">
        <f>E160*F160*G160*I160</f>
        <v/>
      </c>
    </row>
    <row r="161">
      <c r="A161" s="2" t="inlineStr">
        <is>
          <t>生命百分比</t>
        </is>
      </c>
      <c r="B161" s="2" t="inlineStr">
        <is>
          <t>百分比</t>
        </is>
      </c>
      <c r="C161" s="2" t="inlineStr">
        <is>
          <t>金</t>
        </is>
      </c>
      <c r="D161" s="2" t="n">
        <v>20</v>
      </c>
      <c r="E161" s="3">
        <f>INDEX('05_副属性基础'!$C$2:$C$11,MATCH(A161,'05_副属性基础'!$A$2:$A$11,0))</f>
        <v/>
      </c>
      <c r="F161" s="3">
        <f>INDEX('02_品质等级'!$D$2:$D$6,MATCH(C161,'02_品质等级'!$A$2:$A$6,0))</f>
        <v/>
      </c>
      <c r="G161" s="3">
        <f>INDEX('05_副属性基础'!$H$2:$H$13,MATCH(D161,'05_副属性基础'!$G$2:$G$13,0))</f>
        <v/>
      </c>
      <c r="H161" s="3">
        <f>INDEX('02_品质等级'!$G$2:$G$6,MATCH(C161,'02_品质等级'!$A$2:$A$6,0))</f>
        <v/>
      </c>
      <c r="I161" s="3">
        <f>INDEX('02_品质等级'!$H$2:$H$6,MATCH(C161,'02_品质等级'!$A$2:$A$6,0))</f>
        <v/>
      </c>
      <c r="J161" s="3">
        <f>E161*F161*G161*H161</f>
        <v/>
      </c>
      <c r="K161" s="3">
        <f>E161*F161*G161*I161</f>
        <v/>
      </c>
    </row>
    <row r="162">
      <c r="A162" s="2" t="inlineStr">
        <is>
          <t>生命百分比</t>
        </is>
      </c>
      <c r="B162" s="2" t="inlineStr">
        <is>
          <t>百分比</t>
        </is>
      </c>
      <c r="C162" s="2" t="inlineStr">
        <is>
          <t>金</t>
        </is>
      </c>
      <c r="D162" s="2" t="n">
        <v>25</v>
      </c>
      <c r="E162" s="3">
        <f>INDEX('05_副属性基础'!$C$2:$C$11,MATCH(A162,'05_副属性基础'!$A$2:$A$11,0))</f>
        <v/>
      </c>
      <c r="F162" s="3">
        <f>INDEX('02_品质等级'!$D$2:$D$6,MATCH(C162,'02_品质等级'!$A$2:$A$6,0))</f>
        <v/>
      </c>
      <c r="G162" s="3">
        <f>INDEX('05_副属性基础'!$H$2:$H$13,MATCH(D162,'05_副属性基础'!$G$2:$G$13,0))</f>
        <v/>
      </c>
      <c r="H162" s="3">
        <f>INDEX('02_品质等级'!$G$2:$G$6,MATCH(C162,'02_品质等级'!$A$2:$A$6,0))</f>
        <v/>
      </c>
      <c r="I162" s="3">
        <f>INDEX('02_品质等级'!$H$2:$H$6,MATCH(C162,'02_品质等级'!$A$2:$A$6,0))</f>
        <v/>
      </c>
      <c r="J162" s="3">
        <f>E162*F162*G162*H162</f>
        <v/>
      </c>
      <c r="K162" s="3">
        <f>E162*F162*G162*I162</f>
        <v/>
      </c>
    </row>
    <row r="163">
      <c r="A163" s="2" t="inlineStr">
        <is>
          <t>生命百分比</t>
        </is>
      </c>
      <c r="B163" s="2" t="inlineStr">
        <is>
          <t>百分比</t>
        </is>
      </c>
      <c r="C163" s="2" t="inlineStr">
        <is>
          <t>金</t>
        </is>
      </c>
      <c r="D163" s="2" t="n">
        <v>30</v>
      </c>
      <c r="E163" s="3">
        <f>INDEX('05_副属性基础'!$C$2:$C$11,MATCH(A163,'05_副属性基础'!$A$2:$A$11,0))</f>
        <v/>
      </c>
      <c r="F163" s="3">
        <f>INDEX('02_品质等级'!$D$2:$D$6,MATCH(C163,'02_品质等级'!$A$2:$A$6,0))</f>
        <v/>
      </c>
      <c r="G163" s="3">
        <f>INDEX('05_副属性基础'!$H$2:$H$13,MATCH(D163,'05_副属性基础'!$G$2:$G$13,0))</f>
        <v/>
      </c>
      <c r="H163" s="3">
        <f>INDEX('02_品质等级'!$G$2:$G$6,MATCH(C163,'02_品质等级'!$A$2:$A$6,0))</f>
        <v/>
      </c>
      <c r="I163" s="3">
        <f>INDEX('02_品质等级'!$H$2:$H$6,MATCH(C163,'02_品质等级'!$A$2:$A$6,0))</f>
        <v/>
      </c>
      <c r="J163" s="3">
        <f>E163*F163*G163*H163</f>
        <v/>
      </c>
      <c r="K163" s="3">
        <f>E163*F163*G163*I163</f>
        <v/>
      </c>
    </row>
    <row r="164">
      <c r="A164" s="2" t="inlineStr">
        <is>
          <t>生命百分比</t>
        </is>
      </c>
      <c r="B164" s="2" t="inlineStr">
        <is>
          <t>百分比</t>
        </is>
      </c>
      <c r="C164" s="2" t="inlineStr">
        <is>
          <t>金</t>
        </is>
      </c>
      <c r="D164" s="2" t="n">
        <v>35</v>
      </c>
      <c r="E164" s="3">
        <f>INDEX('05_副属性基础'!$C$2:$C$11,MATCH(A164,'05_副属性基础'!$A$2:$A$11,0))</f>
        <v/>
      </c>
      <c r="F164" s="3">
        <f>INDEX('02_品质等级'!$D$2:$D$6,MATCH(C164,'02_品质等级'!$A$2:$A$6,0))</f>
        <v/>
      </c>
      <c r="G164" s="3">
        <f>INDEX('05_副属性基础'!$H$2:$H$13,MATCH(D164,'05_副属性基础'!$G$2:$G$13,0))</f>
        <v/>
      </c>
      <c r="H164" s="3">
        <f>INDEX('02_品质等级'!$G$2:$G$6,MATCH(C164,'02_品质等级'!$A$2:$A$6,0))</f>
        <v/>
      </c>
      <c r="I164" s="3">
        <f>INDEX('02_品质等级'!$H$2:$H$6,MATCH(C164,'02_品质等级'!$A$2:$A$6,0))</f>
        <v/>
      </c>
      <c r="J164" s="3">
        <f>E164*F164*G164*H164</f>
        <v/>
      </c>
      <c r="K164" s="3">
        <f>E164*F164*G164*I164</f>
        <v/>
      </c>
    </row>
    <row r="165">
      <c r="A165" s="2" t="inlineStr">
        <is>
          <t>生命百分比</t>
        </is>
      </c>
      <c r="B165" s="2" t="inlineStr">
        <is>
          <t>百分比</t>
        </is>
      </c>
      <c r="C165" s="2" t="inlineStr">
        <is>
          <t>金</t>
        </is>
      </c>
      <c r="D165" s="2" t="n">
        <v>40</v>
      </c>
      <c r="E165" s="3">
        <f>INDEX('05_副属性基础'!$C$2:$C$11,MATCH(A165,'05_副属性基础'!$A$2:$A$11,0))</f>
        <v/>
      </c>
      <c r="F165" s="3">
        <f>INDEX('02_品质等级'!$D$2:$D$6,MATCH(C165,'02_品质等级'!$A$2:$A$6,0))</f>
        <v/>
      </c>
      <c r="G165" s="3">
        <f>INDEX('05_副属性基础'!$H$2:$H$13,MATCH(D165,'05_副属性基础'!$G$2:$G$13,0))</f>
        <v/>
      </c>
      <c r="H165" s="3">
        <f>INDEX('02_品质等级'!$G$2:$G$6,MATCH(C165,'02_品质等级'!$A$2:$A$6,0))</f>
        <v/>
      </c>
      <c r="I165" s="3">
        <f>INDEX('02_品质等级'!$H$2:$H$6,MATCH(C165,'02_品质等级'!$A$2:$A$6,0))</f>
        <v/>
      </c>
      <c r="J165" s="3">
        <f>E165*F165*G165*H165</f>
        <v/>
      </c>
      <c r="K165" s="3">
        <f>E165*F165*G165*I165</f>
        <v/>
      </c>
    </row>
    <row r="166">
      <c r="A166" s="2" t="inlineStr">
        <is>
          <t>生命百分比</t>
        </is>
      </c>
      <c r="B166" s="2" t="inlineStr">
        <is>
          <t>百分比</t>
        </is>
      </c>
      <c r="C166" s="2" t="inlineStr">
        <is>
          <t>金</t>
        </is>
      </c>
      <c r="D166" s="2" t="n">
        <v>45</v>
      </c>
      <c r="E166" s="3">
        <f>INDEX('05_副属性基础'!$C$2:$C$11,MATCH(A166,'05_副属性基础'!$A$2:$A$11,0))</f>
        <v/>
      </c>
      <c r="F166" s="3">
        <f>INDEX('02_品质等级'!$D$2:$D$6,MATCH(C166,'02_品质等级'!$A$2:$A$6,0))</f>
        <v/>
      </c>
      <c r="G166" s="3">
        <f>INDEX('05_副属性基础'!$H$2:$H$13,MATCH(D166,'05_副属性基础'!$G$2:$G$13,0))</f>
        <v/>
      </c>
      <c r="H166" s="3">
        <f>INDEX('02_品质等级'!$G$2:$G$6,MATCH(C166,'02_品质等级'!$A$2:$A$6,0))</f>
        <v/>
      </c>
      <c r="I166" s="3">
        <f>INDEX('02_品质等级'!$H$2:$H$6,MATCH(C166,'02_品质等级'!$A$2:$A$6,0))</f>
        <v/>
      </c>
      <c r="J166" s="3">
        <f>E166*F166*G166*H166</f>
        <v/>
      </c>
      <c r="K166" s="3">
        <f>E166*F166*G166*I166</f>
        <v/>
      </c>
    </row>
    <row r="167">
      <c r="A167" s="2" t="inlineStr">
        <is>
          <t>生命百分比</t>
        </is>
      </c>
      <c r="B167" s="2" t="inlineStr">
        <is>
          <t>百分比</t>
        </is>
      </c>
      <c r="C167" s="2" t="inlineStr">
        <is>
          <t>金</t>
        </is>
      </c>
      <c r="D167" s="2" t="n">
        <v>50</v>
      </c>
      <c r="E167" s="3">
        <f>INDEX('05_副属性基础'!$C$2:$C$11,MATCH(A167,'05_副属性基础'!$A$2:$A$11,0))</f>
        <v/>
      </c>
      <c r="F167" s="3">
        <f>INDEX('02_品质等级'!$D$2:$D$6,MATCH(C167,'02_品质等级'!$A$2:$A$6,0))</f>
        <v/>
      </c>
      <c r="G167" s="3">
        <f>INDEX('05_副属性基础'!$H$2:$H$13,MATCH(D167,'05_副属性基础'!$G$2:$G$13,0))</f>
        <v/>
      </c>
      <c r="H167" s="3">
        <f>INDEX('02_品质等级'!$G$2:$G$6,MATCH(C167,'02_品质等级'!$A$2:$A$6,0))</f>
        <v/>
      </c>
      <c r="I167" s="3">
        <f>INDEX('02_品质等级'!$H$2:$H$6,MATCH(C167,'02_品质等级'!$A$2:$A$6,0))</f>
        <v/>
      </c>
      <c r="J167" s="3">
        <f>E167*F167*G167*H167</f>
        <v/>
      </c>
      <c r="K167" s="3">
        <f>E167*F167*G167*I167</f>
        <v/>
      </c>
    </row>
    <row r="168">
      <c r="A168" s="2" t="inlineStr">
        <is>
          <t>生命百分比</t>
        </is>
      </c>
      <c r="B168" s="2" t="inlineStr">
        <is>
          <t>百分比</t>
        </is>
      </c>
      <c r="C168" s="2" t="inlineStr">
        <is>
          <t>金</t>
        </is>
      </c>
      <c r="D168" s="2" t="n">
        <v>55</v>
      </c>
      <c r="E168" s="3">
        <f>INDEX('05_副属性基础'!$C$2:$C$11,MATCH(A168,'05_副属性基础'!$A$2:$A$11,0))</f>
        <v/>
      </c>
      <c r="F168" s="3">
        <f>INDEX('02_品质等级'!$D$2:$D$6,MATCH(C168,'02_品质等级'!$A$2:$A$6,0))</f>
        <v/>
      </c>
      <c r="G168" s="3">
        <f>INDEX('05_副属性基础'!$H$2:$H$13,MATCH(D168,'05_副属性基础'!$G$2:$G$13,0))</f>
        <v/>
      </c>
      <c r="H168" s="3">
        <f>INDEX('02_品质等级'!$G$2:$G$6,MATCH(C168,'02_品质等级'!$A$2:$A$6,0))</f>
        <v/>
      </c>
      <c r="I168" s="3">
        <f>INDEX('02_品质等级'!$H$2:$H$6,MATCH(C168,'02_品质等级'!$A$2:$A$6,0))</f>
        <v/>
      </c>
      <c r="J168" s="3">
        <f>E168*F168*G168*H168</f>
        <v/>
      </c>
      <c r="K168" s="3">
        <f>E168*F168*G168*I168</f>
        <v/>
      </c>
    </row>
    <row r="169">
      <c r="A169" s="2" t="inlineStr">
        <is>
          <t>生命百分比</t>
        </is>
      </c>
      <c r="B169" s="2" t="inlineStr">
        <is>
          <t>百分比</t>
        </is>
      </c>
      <c r="C169" s="2" t="inlineStr">
        <is>
          <t>金</t>
        </is>
      </c>
      <c r="D169" s="2" t="n">
        <v>60</v>
      </c>
      <c r="E169" s="3">
        <f>INDEX('05_副属性基础'!$C$2:$C$11,MATCH(A169,'05_副属性基础'!$A$2:$A$11,0))</f>
        <v/>
      </c>
      <c r="F169" s="3">
        <f>INDEX('02_品质等级'!$D$2:$D$6,MATCH(C169,'02_品质等级'!$A$2:$A$6,0))</f>
        <v/>
      </c>
      <c r="G169" s="3">
        <f>INDEX('05_副属性基础'!$H$2:$H$13,MATCH(D169,'05_副属性基础'!$G$2:$G$13,0))</f>
        <v/>
      </c>
      <c r="H169" s="3">
        <f>INDEX('02_品质等级'!$G$2:$G$6,MATCH(C169,'02_品质等级'!$A$2:$A$6,0))</f>
        <v/>
      </c>
      <c r="I169" s="3">
        <f>INDEX('02_品质等级'!$H$2:$H$6,MATCH(C169,'02_品质等级'!$A$2:$A$6,0))</f>
        <v/>
      </c>
      <c r="J169" s="3">
        <f>E169*F169*G169*H169</f>
        <v/>
      </c>
      <c r="K169" s="3">
        <f>E169*F169*G169*I169</f>
        <v/>
      </c>
    </row>
    <row r="170">
      <c r="A170" s="2" t="inlineStr">
        <is>
          <t>生命百分比</t>
        </is>
      </c>
      <c r="B170" s="2" t="inlineStr">
        <is>
          <t>百分比</t>
        </is>
      </c>
      <c r="C170" s="2" t="inlineStr">
        <is>
          <t>红</t>
        </is>
      </c>
      <c r="D170" s="2" t="n">
        <v>5</v>
      </c>
      <c r="E170" s="3">
        <f>INDEX('05_副属性基础'!$C$2:$C$11,MATCH(A170,'05_副属性基础'!$A$2:$A$11,0))</f>
        <v/>
      </c>
      <c r="F170" s="3">
        <f>INDEX('02_品质等级'!$D$2:$D$6,MATCH(C170,'02_品质等级'!$A$2:$A$6,0))</f>
        <v/>
      </c>
      <c r="G170" s="3">
        <f>INDEX('05_副属性基础'!$H$2:$H$13,MATCH(D170,'05_副属性基础'!$G$2:$G$13,0))</f>
        <v/>
      </c>
      <c r="H170" s="3">
        <f>INDEX('02_品质等级'!$G$2:$G$6,MATCH(C170,'02_品质等级'!$A$2:$A$6,0))</f>
        <v/>
      </c>
      <c r="I170" s="3">
        <f>INDEX('02_品质等级'!$H$2:$H$6,MATCH(C170,'02_品质等级'!$A$2:$A$6,0))</f>
        <v/>
      </c>
      <c r="J170" s="3">
        <f>E170*F170*G170*H170</f>
        <v/>
      </c>
      <c r="K170" s="3">
        <f>E170*F170*G170*I170</f>
        <v/>
      </c>
    </row>
    <row r="171">
      <c r="A171" s="2" t="inlineStr">
        <is>
          <t>生命百分比</t>
        </is>
      </c>
      <c r="B171" s="2" t="inlineStr">
        <is>
          <t>百分比</t>
        </is>
      </c>
      <c r="C171" s="2" t="inlineStr">
        <is>
          <t>红</t>
        </is>
      </c>
      <c r="D171" s="2" t="n">
        <v>10</v>
      </c>
      <c r="E171" s="3">
        <f>INDEX('05_副属性基础'!$C$2:$C$11,MATCH(A171,'05_副属性基础'!$A$2:$A$11,0))</f>
        <v/>
      </c>
      <c r="F171" s="3">
        <f>INDEX('02_品质等级'!$D$2:$D$6,MATCH(C171,'02_品质等级'!$A$2:$A$6,0))</f>
        <v/>
      </c>
      <c r="G171" s="3">
        <f>INDEX('05_副属性基础'!$H$2:$H$13,MATCH(D171,'05_副属性基础'!$G$2:$G$13,0))</f>
        <v/>
      </c>
      <c r="H171" s="3">
        <f>INDEX('02_品质等级'!$G$2:$G$6,MATCH(C171,'02_品质等级'!$A$2:$A$6,0))</f>
        <v/>
      </c>
      <c r="I171" s="3">
        <f>INDEX('02_品质等级'!$H$2:$H$6,MATCH(C171,'02_品质等级'!$A$2:$A$6,0))</f>
        <v/>
      </c>
      <c r="J171" s="3">
        <f>E171*F171*G171*H171</f>
        <v/>
      </c>
      <c r="K171" s="3">
        <f>E171*F171*G171*I171</f>
        <v/>
      </c>
    </row>
    <row r="172">
      <c r="A172" s="2" t="inlineStr">
        <is>
          <t>生命百分比</t>
        </is>
      </c>
      <c r="B172" s="2" t="inlineStr">
        <is>
          <t>百分比</t>
        </is>
      </c>
      <c r="C172" s="2" t="inlineStr">
        <is>
          <t>红</t>
        </is>
      </c>
      <c r="D172" s="2" t="n">
        <v>15</v>
      </c>
      <c r="E172" s="3">
        <f>INDEX('05_副属性基础'!$C$2:$C$11,MATCH(A172,'05_副属性基础'!$A$2:$A$11,0))</f>
        <v/>
      </c>
      <c r="F172" s="3">
        <f>INDEX('02_品质等级'!$D$2:$D$6,MATCH(C172,'02_品质等级'!$A$2:$A$6,0))</f>
        <v/>
      </c>
      <c r="G172" s="3">
        <f>INDEX('05_副属性基础'!$H$2:$H$13,MATCH(D172,'05_副属性基础'!$G$2:$G$13,0))</f>
        <v/>
      </c>
      <c r="H172" s="3">
        <f>INDEX('02_品质等级'!$G$2:$G$6,MATCH(C172,'02_品质等级'!$A$2:$A$6,0))</f>
        <v/>
      </c>
      <c r="I172" s="3">
        <f>INDEX('02_品质等级'!$H$2:$H$6,MATCH(C172,'02_品质等级'!$A$2:$A$6,0))</f>
        <v/>
      </c>
      <c r="J172" s="3">
        <f>E172*F172*G172*H172</f>
        <v/>
      </c>
      <c r="K172" s="3">
        <f>E172*F172*G172*I172</f>
        <v/>
      </c>
    </row>
    <row r="173">
      <c r="A173" s="2" t="inlineStr">
        <is>
          <t>生命百分比</t>
        </is>
      </c>
      <c r="B173" s="2" t="inlineStr">
        <is>
          <t>百分比</t>
        </is>
      </c>
      <c r="C173" s="2" t="inlineStr">
        <is>
          <t>红</t>
        </is>
      </c>
      <c r="D173" s="2" t="n">
        <v>20</v>
      </c>
      <c r="E173" s="3">
        <f>INDEX('05_副属性基础'!$C$2:$C$11,MATCH(A173,'05_副属性基础'!$A$2:$A$11,0))</f>
        <v/>
      </c>
      <c r="F173" s="3">
        <f>INDEX('02_品质等级'!$D$2:$D$6,MATCH(C173,'02_品质等级'!$A$2:$A$6,0))</f>
        <v/>
      </c>
      <c r="G173" s="3">
        <f>INDEX('05_副属性基础'!$H$2:$H$13,MATCH(D173,'05_副属性基础'!$G$2:$G$13,0))</f>
        <v/>
      </c>
      <c r="H173" s="3">
        <f>INDEX('02_品质等级'!$G$2:$G$6,MATCH(C173,'02_品质等级'!$A$2:$A$6,0))</f>
        <v/>
      </c>
      <c r="I173" s="3">
        <f>INDEX('02_品质等级'!$H$2:$H$6,MATCH(C173,'02_品质等级'!$A$2:$A$6,0))</f>
        <v/>
      </c>
      <c r="J173" s="3">
        <f>E173*F173*G173*H173</f>
        <v/>
      </c>
      <c r="K173" s="3">
        <f>E173*F173*G173*I173</f>
        <v/>
      </c>
    </row>
    <row r="174">
      <c r="A174" s="2" t="inlineStr">
        <is>
          <t>生命百分比</t>
        </is>
      </c>
      <c r="B174" s="2" t="inlineStr">
        <is>
          <t>百分比</t>
        </is>
      </c>
      <c r="C174" s="2" t="inlineStr">
        <is>
          <t>红</t>
        </is>
      </c>
      <c r="D174" s="2" t="n">
        <v>25</v>
      </c>
      <c r="E174" s="3">
        <f>INDEX('05_副属性基础'!$C$2:$C$11,MATCH(A174,'05_副属性基础'!$A$2:$A$11,0))</f>
        <v/>
      </c>
      <c r="F174" s="3">
        <f>INDEX('02_品质等级'!$D$2:$D$6,MATCH(C174,'02_品质等级'!$A$2:$A$6,0))</f>
        <v/>
      </c>
      <c r="G174" s="3">
        <f>INDEX('05_副属性基础'!$H$2:$H$13,MATCH(D174,'05_副属性基础'!$G$2:$G$13,0))</f>
        <v/>
      </c>
      <c r="H174" s="3">
        <f>INDEX('02_品质等级'!$G$2:$G$6,MATCH(C174,'02_品质等级'!$A$2:$A$6,0))</f>
        <v/>
      </c>
      <c r="I174" s="3">
        <f>INDEX('02_品质等级'!$H$2:$H$6,MATCH(C174,'02_品质等级'!$A$2:$A$6,0))</f>
        <v/>
      </c>
      <c r="J174" s="3">
        <f>E174*F174*G174*H174</f>
        <v/>
      </c>
      <c r="K174" s="3">
        <f>E174*F174*G174*I174</f>
        <v/>
      </c>
    </row>
    <row r="175">
      <c r="A175" s="2" t="inlineStr">
        <is>
          <t>生命百分比</t>
        </is>
      </c>
      <c r="B175" s="2" t="inlineStr">
        <is>
          <t>百分比</t>
        </is>
      </c>
      <c r="C175" s="2" t="inlineStr">
        <is>
          <t>红</t>
        </is>
      </c>
      <c r="D175" s="2" t="n">
        <v>30</v>
      </c>
      <c r="E175" s="3">
        <f>INDEX('05_副属性基础'!$C$2:$C$11,MATCH(A175,'05_副属性基础'!$A$2:$A$11,0))</f>
        <v/>
      </c>
      <c r="F175" s="3">
        <f>INDEX('02_品质等级'!$D$2:$D$6,MATCH(C175,'02_品质等级'!$A$2:$A$6,0))</f>
        <v/>
      </c>
      <c r="G175" s="3">
        <f>INDEX('05_副属性基础'!$H$2:$H$13,MATCH(D175,'05_副属性基础'!$G$2:$G$13,0))</f>
        <v/>
      </c>
      <c r="H175" s="3">
        <f>INDEX('02_品质等级'!$G$2:$G$6,MATCH(C175,'02_品质等级'!$A$2:$A$6,0))</f>
        <v/>
      </c>
      <c r="I175" s="3">
        <f>INDEX('02_品质等级'!$H$2:$H$6,MATCH(C175,'02_品质等级'!$A$2:$A$6,0))</f>
        <v/>
      </c>
      <c r="J175" s="3">
        <f>E175*F175*G175*H175</f>
        <v/>
      </c>
      <c r="K175" s="3">
        <f>E175*F175*G175*I175</f>
        <v/>
      </c>
    </row>
    <row r="176">
      <c r="A176" s="2" t="inlineStr">
        <is>
          <t>生命百分比</t>
        </is>
      </c>
      <c r="B176" s="2" t="inlineStr">
        <is>
          <t>百分比</t>
        </is>
      </c>
      <c r="C176" s="2" t="inlineStr">
        <is>
          <t>红</t>
        </is>
      </c>
      <c r="D176" s="2" t="n">
        <v>35</v>
      </c>
      <c r="E176" s="3">
        <f>INDEX('05_副属性基础'!$C$2:$C$11,MATCH(A176,'05_副属性基础'!$A$2:$A$11,0))</f>
        <v/>
      </c>
      <c r="F176" s="3">
        <f>INDEX('02_品质等级'!$D$2:$D$6,MATCH(C176,'02_品质等级'!$A$2:$A$6,0))</f>
        <v/>
      </c>
      <c r="G176" s="3">
        <f>INDEX('05_副属性基础'!$H$2:$H$13,MATCH(D176,'05_副属性基础'!$G$2:$G$13,0))</f>
        <v/>
      </c>
      <c r="H176" s="3">
        <f>INDEX('02_品质等级'!$G$2:$G$6,MATCH(C176,'02_品质等级'!$A$2:$A$6,0))</f>
        <v/>
      </c>
      <c r="I176" s="3">
        <f>INDEX('02_品质等级'!$H$2:$H$6,MATCH(C176,'02_品质等级'!$A$2:$A$6,0))</f>
        <v/>
      </c>
      <c r="J176" s="3">
        <f>E176*F176*G176*H176</f>
        <v/>
      </c>
      <c r="K176" s="3">
        <f>E176*F176*G176*I176</f>
        <v/>
      </c>
    </row>
    <row r="177">
      <c r="A177" s="2" t="inlineStr">
        <is>
          <t>生命百分比</t>
        </is>
      </c>
      <c r="B177" s="2" t="inlineStr">
        <is>
          <t>百分比</t>
        </is>
      </c>
      <c r="C177" s="2" t="inlineStr">
        <is>
          <t>红</t>
        </is>
      </c>
      <c r="D177" s="2" t="n">
        <v>40</v>
      </c>
      <c r="E177" s="3">
        <f>INDEX('05_副属性基础'!$C$2:$C$11,MATCH(A177,'05_副属性基础'!$A$2:$A$11,0))</f>
        <v/>
      </c>
      <c r="F177" s="3">
        <f>INDEX('02_品质等级'!$D$2:$D$6,MATCH(C177,'02_品质等级'!$A$2:$A$6,0))</f>
        <v/>
      </c>
      <c r="G177" s="3">
        <f>INDEX('05_副属性基础'!$H$2:$H$13,MATCH(D177,'05_副属性基础'!$G$2:$G$13,0))</f>
        <v/>
      </c>
      <c r="H177" s="3">
        <f>INDEX('02_品质等级'!$G$2:$G$6,MATCH(C177,'02_品质等级'!$A$2:$A$6,0))</f>
        <v/>
      </c>
      <c r="I177" s="3">
        <f>INDEX('02_品质等级'!$H$2:$H$6,MATCH(C177,'02_品质等级'!$A$2:$A$6,0))</f>
        <v/>
      </c>
      <c r="J177" s="3">
        <f>E177*F177*G177*H177</f>
        <v/>
      </c>
      <c r="K177" s="3">
        <f>E177*F177*G177*I177</f>
        <v/>
      </c>
    </row>
    <row r="178">
      <c r="A178" s="2" t="inlineStr">
        <is>
          <t>生命百分比</t>
        </is>
      </c>
      <c r="B178" s="2" t="inlineStr">
        <is>
          <t>百分比</t>
        </is>
      </c>
      <c r="C178" s="2" t="inlineStr">
        <is>
          <t>红</t>
        </is>
      </c>
      <c r="D178" s="2" t="n">
        <v>45</v>
      </c>
      <c r="E178" s="3">
        <f>INDEX('05_副属性基础'!$C$2:$C$11,MATCH(A178,'05_副属性基础'!$A$2:$A$11,0))</f>
        <v/>
      </c>
      <c r="F178" s="3">
        <f>INDEX('02_品质等级'!$D$2:$D$6,MATCH(C178,'02_品质等级'!$A$2:$A$6,0))</f>
        <v/>
      </c>
      <c r="G178" s="3">
        <f>INDEX('05_副属性基础'!$H$2:$H$13,MATCH(D178,'05_副属性基础'!$G$2:$G$13,0))</f>
        <v/>
      </c>
      <c r="H178" s="3">
        <f>INDEX('02_品质等级'!$G$2:$G$6,MATCH(C178,'02_品质等级'!$A$2:$A$6,0))</f>
        <v/>
      </c>
      <c r="I178" s="3">
        <f>INDEX('02_品质等级'!$H$2:$H$6,MATCH(C178,'02_品质等级'!$A$2:$A$6,0))</f>
        <v/>
      </c>
      <c r="J178" s="3">
        <f>E178*F178*G178*H178</f>
        <v/>
      </c>
      <c r="K178" s="3">
        <f>E178*F178*G178*I178</f>
        <v/>
      </c>
    </row>
    <row r="179">
      <c r="A179" s="2" t="inlineStr">
        <is>
          <t>生命百分比</t>
        </is>
      </c>
      <c r="B179" s="2" t="inlineStr">
        <is>
          <t>百分比</t>
        </is>
      </c>
      <c r="C179" s="2" t="inlineStr">
        <is>
          <t>红</t>
        </is>
      </c>
      <c r="D179" s="2" t="n">
        <v>50</v>
      </c>
      <c r="E179" s="3">
        <f>INDEX('05_副属性基础'!$C$2:$C$11,MATCH(A179,'05_副属性基础'!$A$2:$A$11,0))</f>
        <v/>
      </c>
      <c r="F179" s="3">
        <f>INDEX('02_品质等级'!$D$2:$D$6,MATCH(C179,'02_品质等级'!$A$2:$A$6,0))</f>
        <v/>
      </c>
      <c r="G179" s="3">
        <f>INDEX('05_副属性基础'!$H$2:$H$13,MATCH(D179,'05_副属性基础'!$G$2:$G$13,0))</f>
        <v/>
      </c>
      <c r="H179" s="3">
        <f>INDEX('02_品质等级'!$G$2:$G$6,MATCH(C179,'02_品质等级'!$A$2:$A$6,0))</f>
        <v/>
      </c>
      <c r="I179" s="3">
        <f>INDEX('02_品质等级'!$H$2:$H$6,MATCH(C179,'02_品质等级'!$A$2:$A$6,0))</f>
        <v/>
      </c>
      <c r="J179" s="3">
        <f>E179*F179*G179*H179</f>
        <v/>
      </c>
      <c r="K179" s="3">
        <f>E179*F179*G179*I179</f>
        <v/>
      </c>
    </row>
    <row r="180">
      <c r="A180" s="2" t="inlineStr">
        <is>
          <t>生命百分比</t>
        </is>
      </c>
      <c r="B180" s="2" t="inlineStr">
        <is>
          <t>百分比</t>
        </is>
      </c>
      <c r="C180" s="2" t="inlineStr">
        <is>
          <t>红</t>
        </is>
      </c>
      <c r="D180" s="2" t="n">
        <v>55</v>
      </c>
      <c r="E180" s="3">
        <f>INDEX('05_副属性基础'!$C$2:$C$11,MATCH(A180,'05_副属性基础'!$A$2:$A$11,0))</f>
        <v/>
      </c>
      <c r="F180" s="3">
        <f>INDEX('02_品质等级'!$D$2:$D$6,MATCH(C180,'02_品质等级'!$A$2:$A$6,0))</f>
        <v/>
      </c>
      <c r="G180" s="3">
        <f>INDEX('05_副属性基础'!$H$2:$H$13,MATCH(D180,'05_副属性基础'!$G$2:$G$13,0))</f>
        <v/>
      </c>
      <c r="H180" s="3">
        <f>INDEX('02_品质等级'!$G$2:$G$6,MATCH(C180,'02_品质等级'!$A$2:$A$6,0))</f>
        <v/>
      </c>
      <c r="I180" s="3">
        <f>INDEX('02_品质等级'!$H$2:$H$6,MATCH(C180,'02_品质等级'!$A$2:$A$6,0))</f>
        <v/>
      </c>
      <c r="J180" s="3">
        <f>E180*F180*G180*H180</f>
        <v/>
      </c>
      <c r="K180" s="3">
        <f>E180*F180*G180*I180</f>
        <v/>
      </c>
    </row>
    <row r="181">
      <c r="A181" s="2" t="inlineStr">
        <is>
          <t>生命百分比</t>
        </is>
      </c>
      <c r="B181" s="2" t="inlineStr">
        <is>
          <t>百分比</t>
        </is>
      </c>
      <c r="C181" s="2" t="inlineStr">
        <is>
          <t>红</t>
        </is>
      </c>
      <c r="D181" s="2" t="n">
        <v>60</v>
      </c>
      <c r="E181" s="3">
        <f>INDEX('05_副属性基础'!$C$2:$C$11,MATCH(A181,'05_副属性基础'!$A$2:$A$11,0))</f>
        <v/>
      </c>
      <c r="F181" s="3">
        <f>INDEX('02_品质等级'!$D$2:$D$6,MATCH(C181,'02_品质等级'!$A$2:$A$6,0))</f>
        <v/>
      </c>
      <c r="G181" s="3">
        <f>INDEX('05_副属性基础'!$H$2:$H$13,MATCH(D181,'05_副属性基础'!$G$2:$G$13,0))</f>
        <v/>
      </c>
      <c r="H181" s="3">
        <f>INDEX('02_品质等级'!$G$2:$G$6,MATCH(C181,'02_品质等级'!$A$2:$A$6,0))</f>
        <v/>
      </c>
      <c r="I181" s="3">
        <f>INDEX('02_品质等级'!$H$2:$H$6,MATCH(C181,'02_品质等级'!$A$2:$A$6,0))</f>
        <v/>
      </c>
      <c r="J181" s="3">
        <f>E181*F181*G181*H181</f>
        <v/>
      </c>
      <c r="K181" s="3">
        <f>E181*F181*G181*I181</f>
        <v/>
      </c>
    </row>
    <row r="182">
      <c r="A182" s="2" t="inlineStr">
        <is>
          <t>攻击</t>
        </is>
      </c>
      <c r="B182" s="2" t="inlineStr">
        <is>
          <t>固定值</t>
        </is>
      </c>
      <c r="C182" s="2" t="inlineStr">
        <is>
          <t>绿</t>
        </is>
      </c>
      <c r="D182" s="2" t="n">
        <v>5</v>
      </c>
      <c r="E182" s="3">
        <f>INDEX('05_副属性基础'!$C$2:$C$11,MATCH(A182,'05_副属性基础'!$A$2:$A$11,0))</f>
        <v/>
      </c>
      <c r="F182" s="3">
        <f>INDEX('02_品质等级'!$D$2:$D$6,MATCH(C182,'02_品质等级'!$A$2:$A$6,0))</f>
        <v/>
      </c>
      <c r="G182" s="3">
        <f>INDEX('05_副属性基础'!$I$2:$I$13,MATCH(D182,'05_副属性基础'!$G$2:$G$13,0))</f>
        <v/>
      </c>
      <c r="H182" s="3">
        <f>INDEX('02_品质等级'!$G$2:$G$6,MATCH(C182,'02_品质等级'!$A$2:$A$6,0))</f>
        <v/>
      </c>
      <c r="I182" s="3">
        <f>INDEX('02_品质等级'!$H$2:$H$6,MATCH(C182,'02_品质等级'!$A$2:$A$6,0))</f>
        <v/>
      </c>
      <c r="J182" s="3">
        <f>E182*F182*G182*H182</f>
        <v/>
      </c>
      <c r="K182" s="3">
        <f>E182*F182*G182*I182</f>
        <v/>
      </c>
    </row>
    <row r="183">
      <c r="A183" s="2" t="inlineStr">
        <is>
          <t>攻击</t>
        </is>
      </c>
      <c r="B183" s="2" t="inlineStr">
        <is>
          <t>固定值</t>
        </is>
      </c>
      <c r="C183" s="2" t="inlineStr">
        <is>
          <t>绿</t>
        </is>
      </c>
      <c r="D183" s="2" t="n">
        <v>10</v>
      </c>
      <c r="E183" s="3">
        <f>INDEX('05_副属性基础'!$C$2:$C$11,MATCH(A183,'05_副属性基础'!$A$2:$A$11,0))</f>
        <v/>
      </c>
      <c r="F183" s="3">
        <f>INDEX('02_品质等级'!$D$2:$D$6,MATCH(C183,'02_品质等级'!$A$2:$A$6,0))</f>
        <v/>
      </c>
      <c r="G183" s="3">
        <f>INDEX('05_副属性基础'!$I$2:$I$13,MATCH(D183,'05_副属性基础'!$G$2:$G$13,0))</f>
        <v/>
      </c>
      <c r="H183" s="3">
        <f>INDEX('02_品质等级'!$G$2:$G$6,MATCH(C183,'02_品质等级'!$A$2:$A$6,0))</f>
        <v/>
      </c>
      <c r="I183" s="3">
        <f>INDEX('02_品质等级'!$H$2:$H$6,MATCH(C183,'02_品质等级'!$A$2:$A$6,0))</f>
        <v/>
      </c>
      <c r="J183" s="3">
        <f>E183*F183*G183*H183</f>
        <v/>
      </c>
      <c r="K183" s="3">
        <f>E183*F183*G183*I183</f>
        <v/>
      </c>
    </row>
    <row r="184">
      <c r="A184" s="2" t="inlineStr">
        <is>
          <t>攻击</t>
        </is>
      </c>
      <c r="B184" s="2" t="inlineStr">
        <is>
          <t>固定值</t>
        </is>
      </c>
      <c r="C184" s="2" t="inlineStr">
        <is>
          <t>绿</t>
        </is>
      </c>
      <c r="D184" s="2" t="n">
        <v>15</v>
      </c>
      <c r="E184" s="3">
        <f>INDEX('05_副属性基础'!$C$2:$C$11,MATCH(A184,'05_副属性基础'!$A$2:$A$11,0))</f>
        <v/>
      </c>
      <c r="F184" s="3">
        <f>INDEX('02_品质等级'!$D$2:$D$6,MATCH(C184,'02_品质等级'!$A$2:$A$6,0))</f>
        <v/>
      </c>
      <c r="G184" s="3">
        <f>INDEX('05_副属性基础'!$I$2:$I$13,MATCH(D184,'05_副属性基础'!$G$2:$G$13,0))</f>
        <v/>
      </c>
      <c r="H184" s="3">
        <f>INDEX('02_品质等级'!$G$2:$G$6,MATCH(C184,'02_品质等级'!$A$2:$A$6,0))</f>
        <v/>
      </c>
      <c r="I184" s="3">
        <f>INDEX('02_品质等级'!$H$2:$H$6,MATCH(C184,'02_品质等级'!$A$2:$A$6,0))</f>
        <v/>
      </c>
      <c r="J184" s="3">
        <f>E184*F184*G184*H184</f>
        <v/>
      </c>
      <c r="K184" s="3">
        <f>E184*F184*G184*I184</f>
        <v/>
      </c>
    </row>
    <row r="185">
      <c r="A185" s="2" t="inlineStr">
        <is>
          <t>攻击</t>
        </is>
      </c>
      <c r="B185" s="2" t="inlineStr">
        <is>
          <t>固定值</t>
        </is>
      </c>
      <c r="C185" s="2" t="inlineStr">
        <is>
          <t>绿</t>
        </is>
      </c>
      <c r="D185" s="2" t="n">
        <v>20</v>
      </c>
      <c r="E185" s="3">
        <f>INDEX('05_副属性基础'!$C$2:$C$11,MATCH(A185,'05_副属性基础'!$A$2:$A$11,0))</f>
        <v/>
      </c>
      <c r="F185" s="3">
        <f>INDEX('02_品质等级'!$D$2:$D$6,MATCH(C185,'02_品质等级'!$A$2:$A$6,0))</f>
        <v/>
      </c>
      <c r="G185" s="3">
        <f>INDEX('05_副属性基础'!$I$2:$I$13,MATCH(D185,'05_副属性基础'!$G$2:$G$13,0))</f>
        <v/>
      </c>
      <c r="H185" s="3">
        <f>INDEX('02_品质等级'!$G$2:$G$6,MATCH(C185,'02_品质等级'!$A$2:$A$6,0))</f>
        <v/>
      </c>
      <c r="I185" s="3">
        <f>INDEX('02_品质等级'!$H$2:$H$6,MATCH(C185,'02_品质等级'!$A$2:$A$6,0))</f>
        <v/>
      </c>
      <c r="J185" s="3">
        <f>E185*F185*G185*H185</f>
        <v/>
      </c>
      <c r="K185" s="3">
        <f>E185*F185*G185*I185</f>
        <v/>
      </c>
    </row>
    <row r="186">
      <c r="A186" s="2" t="inlineStr">
        <is>
          <t>攻击</t>
        </is>
      </c>
      <c r="B186" s="2" t="inlineStr">
        <is>
          <t>固定值</t>
        </is>
      </c>
      <c r="C186" s="2" t="inlineStr">
        <is>
          <t>绿</t>
        </is>
      </c>
      <c r="D186" s="2" t="n">
        <v>25</v>
      </c>
      <c r="E186" s="3">
        <f>INDEX('05_副属性基础'!$C$2:$C$11,MATCH(A186,'05_副属性基础'!$A$2:$A$11,0))</f>
        <v/>
      </c>
      <c r="F186" s="3">
        <f>INDEX('02_品质等级'!$D$2:$D$6,MATCH(C186,'02_品质等级'!$A$2:$A$6,0))</f>
        <v/>
      </c>
      <c r="G186" s="3">
        <f>INDEX('05_副属性基础'!$I$2:$I$13,MATCH(D186,'05_副属性基础'!$G$2:$G$13,0))</f>
        <v/>
      </c>
      <c r="H186" s="3">
        <f>INDEX('02_品质等级'!$G$2:$G$6,MATCH(C186,'02_品质等级'!$A$2:$A$6,0))</f>
        <v/>
      </c>
      <c r="I186" s="3">
        <f>INDEX('02_品质等级'!$H$2:$H$6,MATCH(C186,'02_品质等级'!$A$2:$A$6,0))</f>
        <v/>
      </c>
      <c r="J186" s="3">
        <f>E186*F186*G186*H186</f>
        <v/>
      </c>
      <c r="K186" s="3">
        <f>E186*F186*G186*I186</f>
        <v/>
      </c>
    </row>
    <row r="187">
      <c r="A187" s="2" t="inlineStr">
        <is>
          <t>攻击</t>
        </is>
      </c>
      <c r="B187" s="2" t="inlineStr">
        <is>
          <t>固定值</t>
        </is>
      </c>
      <c r="C187" s="2" t="inlineStr">
        <is>
          <t>绿</t>
        </is>
      </c>
      <c r="D187" s="2" t="n">
        <v>30</v>
      </c>
      <c r="E187" s="3">
        <f>INDEX('05_副属性基础'!$C$2:$C$11,MATCH(A187,'05_副属性基础'!$A$2:$A$11,0))</f>
        <v/>
      </c>
      <c r="F187" s="3">
        <f>INDEX('02_品质等级'!$D$2:$D$6,MATCH(C187,'02_品质等级'!$A$2:$A$6,0))</f>
        <v/>
      </c>
      <c r="G187" s="3">
        <f>INDEX('05_副属性基础'!$I$2:$I$13,MATCH(D187,'05_副属性基础'!$G$2:$G$13,0))</f>
        <v/>
      </c>
      <c r="H187" s="3">
        <f>INDEX('02_品质等级'!$G$2:$G$6,MATCH(C187,'02_品质等级'!$A$2:$A$6,0))</f>
        <v/>
      </c>
      <c r="I187" s="3">
        <f>INDEX('02_品质等级'!$H$2:$H$6,MATCH(C187,'02_品质等级'!$A$2:$A$6,0))</f>
        <v/>
      </c>
      <c r="J187" s="3">
        <f>E187*F187*G187*H187</f>
        <v/>
      </c>
      <c r="K187" s="3">
        <f>E187*F187*G187*I187</f>
        <v/>
      </c>
    </row>
    <row r="188">
      <c r="A188" s="2" t="inlineStr">
        <is>
          <t>攻击</t>
        </is>
      </c>
      <c r="B188" s="2" t="inlineStr">
        <is>
          <t>固定值</t>
        </is>
      </c>
      <c r="C188" s="2" t="inlineStr">
        <is>
          <t>绿</t>
        </is>
      </c>
      <c r="D188" s="2" t="n">
        <v>35</v>
      </c>
      <c r="E188" s="3">
        <f>INDEX('05_副属性基础'!$C$2:$C$11,MATCH(A188,'05_副属性基础'!$A$2:$A$11,0))</f>
        <v/>
      </c>
      <c r="F188" s="3">
        <f>INDEX('02_品质等级'!$D$2:$D$6,MATCH(C188,'02_品质等级'!$A$2:$A$6,0))</f>
        <v/>
      </c>
      <c r="G188" s="3">
        <f>INDEX('05_副属性基础'!$I$2:$I$13,MATCH(D188,'05_副属性基础'!$G$2:$G$13,0))</f>
        <v/>
      </c>
      <c r="H188" s="3">
        <f>INDEX('02_品质等级'!$G$2:$G$6,MATCH(C188,'02_品质等级'!$A$2:$A$6,0))</f>
        <v/>
      </c>
      <c r="I188" s="3">
        <f>INDEX('02_品质等级'!$H$2:$H$6,MATCH(C188,'02_品质等级'!$A$2:$A$6,0))</f>
        <v/>
      </c>
      <c r="J188" s="3">
        <f>E188*F188*G188*H188</f>
        <v/>
      </c>
      <c r="K188" s="3">
        <f>E188*F188*G188*I188</f>
        <v/>
      </c>
    </row>
    <row r="189">
      <c r="A189" s="2" t="inlineStr">
        <is>
          <t>攻击</t>
        </is>
      </c>
      <c r="B189" s="2" t="inlineStr">
        <is>
          <t>固定值</t>
        </is>
      </c>
      <c r="C189" s="2" t="inlineStr">
        <is>
          <t>绿</t>
        </is>
      </c>
      <c r="D189" s="2" t="n">
        <v>40</v>
      </c>
      <c r="E189" s="3">
        <f>INDEX('05_副属性基础'!$C$2:$C$11,MATCH(A189,'05_副属性基础'!$A$2:$A$11,0))</f>
        <v/>
      </c>
      <c r="F189" s="3">
        <f>INDEX('02_品质等级'!$D$2:$D$6,MATCH(C189,'02_品质等级'!$A$2:$A$6,0))</f>
        <v/>
      </c>
      <c r="G189" s="3">
        <f>INDEX('05_副属性基础'!$I$2:$I$13,MATCH(D189,'05_副属性基础'!$G$2:$G$13,0))</f>
        <v/>
      </c>
      <c r="H189" s="3">
        <f>INDEX('02_品质等级'!$G$2:$G$6,MATCH(C189,'02_品质等级'!$A$2:$A$6,0))</f>
        <v/>
      </c>
      <c r="I189" s="3">
        <f>INDEX('02_品质等级'!$H$2:$H$6,MATCH(C189,'02_品质等级'!$A$2:$A$6,0))</f>
        <v/>
      </c>
      <c r="J189" s="3">
        <f>E189*F189*G189*H189</f>
        <v/>
      </c>
      <c r="K189" s="3">
        <f>E189*F189*G189*I189</f>
        <v/>
      </c>
    </row>
    <row r="190">
      <c r="A190" s="2" t="inlineStr">
        <is>
          <t>攻击</t>
        </is>
      </c>
      <c r="B190" s="2" t="inlineStr">
        <is>
          <t>固定值</t>
        </is>
      </c>
      <c r="C190" s="2" t="inlineStr">
        <is>
          <t>绿</t>
        </is>
      </c>
      <c r="D190" s="2" t="n">
        <v>45</v>
      </c>
      <c r="E190" s="3">
        <f>INDEX('05_副属性基础'!$C$2:$C$11,MATCH(A190,'05_副属性基础'!$A$2:$A$11,0))</f>
        <v/>
      </c>
      <c r="F190" s="3">
        <f>INDEX('02_品质等级'!$D$2:$D$6,MATCH(C190,'02_品质等级'!$A$2:$A$6,0))</f>
        <v/>
      </c>
      <c r="G190" s="3">
        <f>INDEX('05_副属性基础'!$I$2:$I$13,MATCH(D190,'05_副属性基础'!$G$2:$G$13,0))</f>
        <v/>
      </c>
      <c r="H190" s="3">
        <f>INDEX('02_品质等级'!$G$2:$G$6,MATCH(C190,'02_品质等级'!$A$2:$A$6,0))</f>
        <v/>
      </c>
      <c r="I190" s="3">
        <f>INDEX('02_品质等级'!$H$2:$H$6,MATCH(C190,'02_品质等级'!$A$2:$A$6,0))</f>
        <v/>
      </c>
      <c r="J190" s="3">
        <f>E190*F190*G190*H190</f>
        <v/>
      </c>
      <c r="K190" s="3">
        <f>E190*F190*G190*I190</f>
        <v/>
      </c>
    </row>
    <row r="191">
      <c r="A191" s="2" t="inlineStr">
        <is>
          <t>攻击</t>
        </is>
      </c>
      <c r="B191" s="2" t="inlineStr">
        <is>
          <t>固定值</t>
        </is>
      </c>
      <c r="C191" s="2" t="inlineStr">
        <is>
          <t>绿</t>
        </is>
      </c>
      <c r="D191" s="2" t="n">
        <v>50</v>
      </c>
      <c r="E191" s="3">
        <f>INDEX('05_副属性基础'!$C$2:$C$11,MATCH(A191,'05_副属性基础'!$A$2:$A$11,0))</f>
        <v/>
      </c>
      <c r="F191" s="3">
        <f>INDEX('02_品质等级'!$D$2:$D$6,MATCH(C191,'02_品质等级'!$A$2:$A$6,0))</f>
        <v/>
      </c>
      <c r="G191" s="3">
        <f>INDEX('05_副属性基础'!$I$2:$I$13,MATCH(D191,'05_副属性基础'!$G$2:$G$13,0))</f>
        <v/>
      </c>
      <c r="H191" s="3">
        <f>INDEX('02_品质等级'!$G$2:$G$6,MATCH(C191,'02_品质等级'!$A$2:$A$6,0))</f>
        <v/>
      </c>
      <c r="I191" s="3">
        <f>INDEX('02_品质等级'!$H$2:$H$6,MATCH(C191,'02_品质等级'!$A$2:$A$6,0))</f>
        <v/>
      </c>
      <c r="J191" s="3">
        <f>E191*F191*G191*H191</f>
        <v/>
      </c>
      <c r="K191" s="3">
        <f>E191*F191*G191*I191</f>
        <v/>
      </c>
    </row>
    <row r="192">
      <c r="A192" s="2" t="inlineStr">
        <is>
          <t>攻击</t>
        </is>
      </c>
      <c r="B192" s="2" t="inlineStr">
        <is>
          <t>固定值</t>
        </is>
      </c>
      <c r="C192" s="2" t="inlineStr">
        <is>
          <t>绿</t>
        </is>
      </c>
      <c r="D192" s="2" t="n">
        <v>55</v>
      </c>
      <c r="E192" s="3">
        <f>INDEX('05_副属性基础'!$C$2:$C$11,MATCH(A192,'05_副属性基础'!$A$2:$A$11,0))</f>
        <v/>
      </c>
      <c r="F192" s="3">
        <f>INDEX('02_品质等级'!$D$2:$D$6,MATCH(C192,'02_品质等级'!$A$2:$A$6,0))</f>
        <v/>
      </c>
      <c r="G192" s="3">
        <f>INDEX('05_副属性基础'!$I$2:$I$13,MATCH(D192,'05_副属性基础'!$G$2:$G$13,0))</f>
        <v/>
      </c>
      <c r="H192" s="3">
        <f>INDEX('02_品质等级'!$G$2:$G$6,MATCH(C192,'02_品质等级'!$A$2:$A$6,0))</f>
        <v/>
      </c>
      <c r="I192" s="3">
        <f>INDEX('02_品质等级'!$H$2:$H$6,MATCH(C192,'02_品质等级'!$A$2:$A$6,0))</f>
        <v/>
      </c>
      <c r="J192" s="3">
        <f>E192*F192*G192*H192</f>
        <v/>
      </c>
      <c r="K192" s="3">
        <f>E192*F192*G192*I192</f>
        <v/>
      </c>
    </row>
    <row r="193">
      <c r="A193" s="2" t="inlineStr">
        <is>
          <t>攻击</t>
        </is>
      </c>
      <c r="B193" s="2" t="inlineStr">
        <is>
          <t>固定值</t>
        </is>
      </c>
      <c r="C193" s="2" t="inlineStr">
        <is>
          <t>绿</t>
        </is>
      </c>
      <c r="D193" s="2" t="n">
        <v>60</v>
      </c>
      <c r="E193" s="3">
        <f>INDEX('05_副属性基础'!$C$2:$C$11,MATCH(A193,'05_副属性基础'!$A$2:$A$11,0))</f>
        <v/>
      </c>
      <c r="F193" s="3">
        <f>INDEX('02_品质等级'!$D$2:$D$6,MATCH(C193,'02_品质等级'!$A$2:$A$6,0))</f>
        <v/>
      </c>
      <c r="G193" s="3">
        <f>INDEX('05_副属性基础'!$I$2:$I$13,MATCH(D193,'05_副属性基础'!$G$2:$G$13,0))</f>
        <v/>
      </c>
      <c r="H193" s="3">
        <f>INDEX('02_品质等级'!$G$2:$G$6,MATCH(C193,'02_品质等级'!$A$2:$A$6,0))</f>
        <v/>
      </c>
      <c r="I193" s="3">
        <f>INDEX('02_品质等级'!$H$2:$H$6,MATCH(C193,'02_品质等级'!$A$2:$A$6,0))</f>
        <v/>
      </c>
      <c r="J193" s="3">
        <f>E193*F193*G193*H193</f>
        <v/>
      </c>
      <c r="K193" s="3">
        <f>E193*F193*G193*I193</f>
        <v/>
      </c>
    </row>
    <row r="194">
      <c r="A194" s="2" t="inlineStr">
        <is>
          <t>攻击</t>
        </is>
      </c>
      <c r="B194" s="2" t="inlineStr">
        <is>
          <t>固定值</t>
        </is>
      </c>
      <c r="C194" s="2" t="inlineStr">
        <is>
          <t>蓝</t>
        </is>
      </c>
      <c r="D194" s="2" t="n">
        <v>5</v>
      </c>
      <c r="E194" s="3">
        <f>INDEX('05_副属性基础'!$C$2:$C$11,MATCH(A194,'05_副属性基础'!$A$2:$A$11,0))</f>
        <v/>
      </c>
      <c r="F194" s="3">
        <f>INDEX('02_品质等级'!$D$2:$D$6,MATCH(C194,'02_品质等级'!$A$2:$A$6,0))</f>
        <v/>
      </c>
      <c r="G194" s="3">
        <f>INDEX('05_副属性基础'!$I$2:$I$13,MATCH(D194,'05_副属性基础'!$G$2:$G$13,0))</f>
        <v/>
      </c>
      <c r="H194" s="3">
        <f>INDEX('02_品质等级'!$G$2:$G$6,MATCH(C194,'02_品质等级'!$A$2:$A$6,0))</f>
        <v/>
      </c>
      <c r="I194" s="3">
        <f>INDEX('02_品质等级'!$H$2:$H$6,MATCH(C194,'02_品质等级'!$A$2:$A$6,0))</f>
        <v/>
      </c>
      <c r="J194" s="3">
        <f>E194*F194*G194*H194</f>
        <v/>
      </c>
      <c r="K194" s="3">
        <f>E194*F194*G194*I194</f>
        <v/>
      </c>
    </row>
    <row r="195">
      <c r="A195" s="2" t="inlineStr">
        <is>
          <t>攻击</t>
        </is>
      </c>
      <c r="B195" s="2" t="inlineStr">
        <is>
          <t>固定值</t>
        </is>
      </c>
      <c r="C195" s="2" t="inlineStr">
        <is>
          <t>蓝</t>
        </is>
      </c>
      <c r="D195" s="2" t="n">
        <v>10</v>
      </c>
      <c r="E195" s="3">
        <f>INDEX('05_副属性基础'!$C$2:$C$11,MATCH(A195,'05_副属性基础'!$A$2:$A$11,0))</f>
        <v/>
      </c>
      <c r="F195" s="3">
        <f>INDEX('02_品质等级'!$D$2:$D$6,MATCH(C195,'02_品质等级'!$A$2:$A$6,0))</f>
        <v/>
      </c>
      <c r="G195" s="3">
        <f>INDEX('05_副属性基础'!$I$2:$I$13,MATCH(D195,'05_副属性基础'!$G$2:$G$13,0))</f>
        <v/>
      </c>
      <c r="H195" s="3">
        <f>INDEX('02_品质等级'!$G$2:$G$6,MATCH(C195,'02_品质等级'!$A$2:$A$6,0))</f>
        <v/>
      </c>
      <c r="I195" s="3">
        <f>INDEX('02_品质等级'!$H$2:$H$6,MATCH(C195,'02_品质等级'!$A$2:$A$6,0))</f>
        <v/>
      </c>
      <c r="J195" s="3">
        <f>E195*F195*G195*H195</f>
        <v/>
      </c>
      <c r="K195" s="3">
        <f>E195*F195*G195*I195</f>
        <v/>
      </c>
    </row>
    <row r="196">
      <c r="A196" s="2" t="inlineStr">
        <is>
          <t>攻击</t>
        </is>
      </c>
      <c r="B196" s="2" t="inlineStr">
        <is>
          <t>固定值</t>
        </is>
      </c>
      <c r="C196" s="2" t="inlineStr">
        <is>
          <t>蓝</t>
        </is>
      </c>
      <c r="D196" s="2" t="n">
        <v>15</v>
      </c>
      <c r="E196" s="3">
        <f>INDEX('05_副属性基础'!$C$2:$C$11,MATCH(A196,'05_副属性基础'!$A$2:$A$11,0))</f>
        <v/>
      </c>
      <c r="F196" s="3">
        <f>INDEX('02_品质等级'!$D$2:$D$6,MATCH(C196,'02_品质等级'!$A$2:$A$6,0))</f>
        <v/>
      </c>
      <c r="G196" s="3">
        <f>INDEX('05_副属性基础'!$I$2:$I$13,MATCH(D196,'05_副属性基础'!$G$2:$G$13,0))</f>
        <v/>
      </c>
      <c r="H196" s="3">
        <f>INDEX('02_品质等级'!$G$2:$G$6,MATCH(C196,'02_品质等级'!$A$2:$A$6,0))</f>
        <v/>
      </c>
      <c r="I196" s="3">
        <f>INDEX('02_品质等级'!$H$2:$H$6,MATCH(C196,'02_品质等级'!$A$2:$A$6,0))</f>
        <v/>
      </c>
      <c r="J196" s="3">
        <f>E196*F196*G196*H196</f>
        <v/>
      </c>
      <c r="K196" s="3">
        <f>E196*F196*G196*I196</f>
        <v/>
      </c>
    </row>
    <row r="197">
      <c r="A197" s="2" t="inlineStr">
        <is>
          <t>攻击</t>
        </is>
      </c>
      <c r="B197" s="2" t="inlineStr">
        <is>
          <t>固定值</t>
        </is>
      </c>
      <c r="C197" s="2" t="inlineStr">
        <is>
          <t>蓝</t>
        </is>
      </c>
      <c r="D197" s="2" t="n">
        <v>20</v>
      </c>
      <c r="E197" s="3">
        <f>INDEX('05_副属性基础'!$C$2:$C$11,MATCH(A197,'05_副属性基础'!$A$2:$A$11,0))</f>
        <v/>
      </c>
      <c r="F197" s="3">
        <f>INDEX('02_品质等级'!$D$2:$D$6,MATCH(C197,'02_品质等级'!$A$2:$A$6,0))</f>
        <v/>
      </c>
      <c r="G197" s="3">
        <f>INDEX('05_副属性基础'!$I$2:$I$13,MATCH(D197,'05_副属性基础'!$G$2:$G$13,0))</f>
        <v/>
      </c>
      <c r="H197" s="3">
        <f>INDEX('02_品质等级'!$G$2:$G$6,MATCH(C197,'02_品质等级'!$A$2:$A$6,0))</f>
        <v/>
      </c>
      <c r="I197" s="3">
        <f>INDEX('02_品质等级'!$H$2:$H$6,MATCH(C197,'02_品质等级'!$A$2:$A$6,0))</f>
        <v/>
      </c>
      <c r="J197" s="3">
        <f>E197*F197*G197*H197</f>
        <v/>
      </c>
      <c r="K197" s="3">
        <f>E197*F197*G197*I197</f>
        <v/>
      </c>
    </row>
    <row r="198">
      <c r="A198" s="2" t="inlineStr">
        <is>
          <t>攻击</t>
        </is>
      </c>
      <c r="B198" s="2" t="inlineStr">
        <is>
          <t>固定值</t>
        </is>
      </c>
      <c r="C198" s="2" t="inlineStr">
        <is>
          <t>蓝</t>
        </is>
      </c>
      <c r="D198" s="2" t="n">
        <v>25</v>
      </c>
      <c r="E198" s="3">
        <f>INDEX('05_副属性基础'!$C$2:$C$11,MATCH(A198,'05_副属性基础'!$A$2:$A$11,0))</f>
        <v/>
      </c>
      <c r="F198" s="3">
        <f>INDEX('02_品质等级'!$D$2:$D$6,MATCH(C198,'02_品质等级'!$A$2:$A$6,0))</f>
        <v/>
      </c>
      <c r="G198" s="3">
        <f>INDEX('05_副属性基础'!$I$2:$I$13,MATCH(D198,'05_副属性基础'!$G$2:$G$13,0))</f>
        <v/>
      </c>
      <c r="H198" s="3">
        <f>INDEX('02_品质等级'!$G$2:$G$6,MATCH(C198,'02_品质等级'!$A$2:$A$6,0))</f>
        <v/>
      </c>
      <c r="I198" s="3">
        <f>INDEX('02_品质等级'!$H$2:$H$6,MATCH(C198,'02_品质等级'!$A$2:$A$6,0))</f>
        <v/>
      </c>
      <c r="J198" s="3">
        <f>E198*F198*G198*H198</f>
        <v/>
      </c>
      <c r="K198" s="3">
        <f>E198*F198*G198*I198</f>
        <v/>
      </c>
    </row>
    <row r="199">
      <c r="A199" s="2" t="inlineStr">
        <is>
          <t>攻击</t>
        </is>
      </c>
      <c r="B199" s="2" t="inlineStr">
        <is>
          <t>固定值</t>
        </is>
      </c>
      <c r="C199" s="2" t="inlineStr">
        <is>
          <t>蓝</t>
        </is>
      </c>
      <c r="D199" s="2" t="n">
        <v>30</v>
      </c>
      <c r="E199" s="3">
        <f>INDEX('05_副属性基础'!$C$2:$C$11,MATCH(A199,'05_副属性基础'!$A$2:$A$11,0))</f>
        <v/>
      </c>
      <c r="F199" s="3">
        <f>INDEX('02_品质等级'!$D$2:$D$6,MATCH(C199,'02_品质等级'!$A$2:$A$6,0))</f>
        <v/>
      </c>
      <c r="G199" s="3">
        <f>INDEX('05_副属性基础'!$I$2:$I$13,MATCH(D199,'05_副属性基础'!$G$2:$G$13,0))</f>
        <v/>
      </c>
      <c r="H199" s="3">
        <f>INDEX('02_品质等级'!$G$2:$G$6,MATCH(C199,'02_品质等级'!$A$2:$A$6,0))</f>
        <v/>
      </c>
      <c r="I199" s="3">
        <f>INDEX('02_品质等级'!$H$2:$H$6,MATCH(C199,'02_品质等级'!$A$2:$A$6,0))</f>
        <v/>
      </c>
      <c r="J199" s="3">
        <f>E199*F199*G199*H199</f>
        <v/>
      </c>
      <c r="K199" s="3">
        <f>E199*F199*G199*I199</f>
        <v/>
      </c>
    </row>
    <row r="200">
      <c r="A200" s="2" t="inlineStr">
        <is>
          <t>攻击</t>
        </is>
      </c>
      <c r="B200" s="2" t="inlineStr">
        <is>
          <t>固定值</t>
        </is>
      </c>
      <c r="C200" s="2" t="inlineStr">
        <is>
          <t>蓝</t>
        </is>
      </c>
      <c r="D200" s="2" t="n">
        <v>35</v>
      </c>
      <c r="E200" s="3">
        <f>INDEX('05_副属性基础'!$C$2:$C$11,MATCH(A200,'05_副属性基础'!$A$2:$A$11,0))</f>
        <v/>
      </c>
      <c r="F200" s="3">
        <f>INDEX('02_品质等级'!$D$2:$D$6,MATCH(C200,'02_品质等级'!$A$2:$A$6,0))</f>
        <v/>
      </c>
      <c r="G200" s="3">
        <f>INDEX('05_副属性基础'!$I$2:$I$13,MATCH(D200,'05_副属性基础'!$G$2:$G$13,0))</f>
        <v/>
      </c>
      <c r="H200" s="3">
        <f>INDEX('02_品质等级'!$G$2:$G$6,MATCH(C200,'02_品质等级'!$A$2:$A$6,0))</f>
        <v/>
      </c>
      <c r="I200" s="3">
        <f>INDEX('02_品质等级'!$H$2:$H$6,MATCH(C200,'02_品质等级'!$A$2:$A$6,0))</f>
        <v/>
      </c>
      <c r="J200" s="3">
        <f>E200*F200*G200*H200</f>
        <v/>
      </c>
      <c r="K200" s="3">
        <f>E200*F200*G200*I200</f>
        <v/>
      </c>
    </row>
    <row r="201">
      <c r="A201" s="2" t="inlineStr">
        <is>
          <t>攻击</t>
        </is>
      </c>
      <c r="B201" s="2" t="inlineStr">
        <is>
          <t>固定值</t>
        </is>
      </c>
      <c r="C201" s="2" t="inlineStr">
        <is>
          <t>蓝</t>
        </is>
      </c>
      <c r="D201" s="2" t="n">
        <v>40</v>
      </c>
      <c r="E201" s="3">
        <f>INDEX('05_副属性基础'!$C$2:$C$11,MATCH(A201,'05_副属性基础'!$A$2:$A$11,0))</f>
        <v/>
      </c>
      <c r="F201" s="3">
        <f>INDEX('02_品质等级'!$D$2:$D$6,MATCH(C201,'02_品质等级'!$A$2:$A$6,0))</f>
        <v/>
      </c>
      <c r="G201" s="3">
        <f>INDEX('05_副属性基础'!$I$2:$I$13,MATCH(D201,'05_副属性基础'!$G$2:$G$13,0))</f>
        <v/>
      </c>
      <c r="H201" s="3">
        <f>INDEX('02_品质等级'!$G$2:$G$6,MATCH(C201,'02_品质等级'!$A$2:$A$6,0))</f>
        <v/>
      </c>
      <c r="I201" s="3">
        <f>INDEX('02_品质等级'!$H$2:$H$6,MATCH(C201,'02_品质等级'!$A$2:$A$6,0))</f>
        <v/>
      </c>
      <c r="J201" s="3">
        <f>E201*F201*G201*H201</f>
        <v/>
      </c>
      <c r="K201" s="3">
        <f>E201*F201*G201*I201</f>
        <v/>
      </c>
    </row>
    <row r="202">
      <c r="A202" s="2" t="inlineStr">
        <is>
          <t>攻击</t>
        </is>
      </c>
      <c r="B202" s="2" t="inlineStr">
        <is>
          <t>固定值</t>
        </is>
      </c>
      <c r="C202" s="2" t="inlineStr">
        <is>
          <t>蓝</t>
        </is>
      </c>
      <c r="D202" s="2" t="n">
        <v>45</v>
      </c>
      <c r="E202" s="3">
        <f>INDEX('05_副属性基础'!$C$2:$C$11,MATCH(A202,'05_副属性基础'!$A$2:$A$11,0))</f>
        <v/>
      </c>
      <c r="F202" s="3">
        <f>INDEX('02_品质等级'!$D$2:$D$6,MATCH(C202,'02_品质等级'!$A$2:$A$6,0))</f>
        <v/>
      </c>
      <c r="G202" s="3">
        <f>INDEX('05_副属性基础'!$I$2:$I$13,MATCH(D202,'05_副属性基础'!$G$2:$G$13,0))</f>
        <v/>
      </c>
      <c r="H202" s="3">
        <f>INDEX('02_品质等级'!$G$2:$G$6,MATCH(C202,'02_品质等级'!$A$2:$A$6,0))</f>
        <v/>
      </c>
      <c r="I202" s="3">
        <f>INDEX('02_品质等级'!$H$2:$H$6,MATCH(C202,'02_品质等级'!$A$2:$A$6,0))</f>
        <v/>
      </c>
      <c r="J202" s="3">
        <f>E202*F202*G202*H202</f>
        <v/>
      </c>
      <c r="K202" s="3">
        <f>E202*F202*G202*I202</f>
        <v/>
      </c>
    </row>
    <row r="203">
      <c r="A203" s="2" t="inlineStr">
        <is>
          <t>攻击</t>
        </is>
      </c>
      <c r="B203" s="2" t="inlineStr">
        <is>
          <t>固定值</t>
        </is>
      </c>
      <c r="C203" s="2" t="inlineStr">
        <is>
          <t>蓝</t>
        </is>
      </c>
      <c r="D203" s="2" t="n">
        <v>50</v>
      </c>
      <c r="E203" s="3">
        <f>INDEX('05_副属性基础'!$C$2:$C$11,MATCH(A203,'05_副属性基础'!$A$2:$A$11,0))</f>
        <v/>
      </c>
      <c r="F203" s="3">
        <f>INDEX('02_品质等级'!$D$2:$D$6,MATCH(C203,'02_品质等级'!$A$2:$A$6,0))</f>
        <v/>
      </c>
      <c r="G203" s="3">
        <f>INDEX('05_副属性基础'!$I$2:$I$13,MATCH(D203,'05_副属性基础'!$G$2:$G$13,0))</f>
        <v/>
      </c>
      <c r="H203" s="3">
        <f>INDEX('02_品质等级'!$G$2:$G$6,MATCH(C203,'02_品质等级'!$A$2:$A$6,0))</f>
        <v/>
      </c>
      <c r="I203" s="3">
        <f>INDEX('02_品质等级'!$H$2:$H$6,MATCH(C203,'02_品质等级'!$A$2:$A$6,0))</f>
        <v/>
      </c>
      <c r="J203" s="3">
        <f>E203*F203*G203*H203</f>
        <v/>
      </c>
      <c r="K203" s="3">
        <f>E203*F203*G203*I203</f>
        <v/>
      </c>
    </row>
    <row r="204">
      <c r="A204" s="2" t="inlineStr">
        <is>
          <t>攻击</t>
        </is>
      </c>
      <c r="B204" s="2" t="inlineStr">
        <is>
          <t>固定值</t>
        </is>
      </c>
      <c r="C204" s="2" t="inlineStr">
        <is>
          <t>蓝</t>
        </is>
      </c>
      <c r="D204" s="2" t="n">
        <v>55</v>
      </c>
      <c r="E204" s="3">
        <f>INDEX('05_副属性基础'!$C$2:$C$11,MATCH(A204,'05_副属性基础'!$A$2:$A$11,0))</f>
        <v/>
      </c>
      <c r="F204" s="3">
        <f>INDEX('02_品质等级'!$D$2:$D$6,MATCH(C204,'02_品质等级'!$A$2:$A$6,0))</f>
        <v/>
      </c>
      <c r="G204" s="3">
        <f>INDEX('05_副属性基础'!$I$2:$I$13,MATCH(D204,'05_副属性基础'!$G$2:$G$13,0))</f>
        <v/>
      </c>
      <c r="H204" s="3">
        <f>INDEX('02_品质等级'!$G$2:$G$6,MATCH(C204,'02_品质等级'!$A$2:$A$6,0))</f>
        <v/>
      </c>
      <c r="I204" s="3">
        <f>INDEX('02_品质等级'!$H$2:$H$6,MATCH(C204,'02_品质等级'!$A$2:$A$6,0))</f>
        <v/>
      </c>
      <c r="J204" s="3">
        <f>E204*F204*G204*H204</f>
        <v/>
      </c>
      <c r="K204" s="3">
        <f>E204*F204*G204*I204</f>
        <v/>
      </c>
    </row>
    <row r="205">
      <c r="A205" s="2" t="inlineStr">
        <is>
          <t>攻击</t>
        </is>
      </c>
      <c r="B205" s="2" t="inlineStr">
        <is>
          <t>固定值</t>
        </is>
      </c>
      <c r="C205" s="2" t="inlineStr">
        <is>
          <t>蓝</t>
        </is>
      </c>
      <c r="D205" s="2" t="n">
        <v>60</v>
      </c>
      <c r="E205" s="3">
        <f>INDEX('05_副属性基础'!$C$2:$C$11,MATCH(A205,'05_副属性基础'!$A$2:$A$11,0))</f>
        <v/>
      </c>
      <c r="F205" s="3">
        <f>INDEX('02_品质等级'!$D$2:$D$6,MATCH(C205,'02_品质等级'!$A$2:$A$6,0))</f>
        <v/>
      </c>
      <c r="G205" s="3">
        <f>INDEX('05_副属性基础'!$I$2:$I$13,MATCH(D205,'05_副属性基础'!$G$2:$G$13,0))</f>
        <v/>
      </c>
      <c r="H205" s="3">
        <f>INDEX('02_品质等级'!$G$2:$G$6,MATCH(C205,'02_品质等级'!$A$2:$A$6,0))</f>
        <v/>
      </c>
      <c r="I205" s="3">
        <f>INDEX('02_品质等级'!$H$2:$H$6,MATCH(C205,'02_品质等级'!$A$2:$A$6,0))</f>
        <v/>
      </c>
      <c r="J205" s="3">
        <f>E205*F205*G205*H205</f>
        <v/>
      </c>
      <c r="K205" s="3">
        <f>E205*F205*G205*I205</f>
        <v/>
      </c>
    </row>
    <row r="206">
      <c r="A206" s="2" t="inlineStr">
        <is>
          <t>攻击</t>
        </is>
      </c>
      <c r="B206" s="2" t="inlineStr">
        <is>
          <t>固定值</t>
        </is>
      </c>
      <c r="C206" s="2" t="inlineStr">
        <is>
          <t>紫</t>
        </is>
      </c>
      <c r="D206" s="2" t="n">
        <v>5</v>
      </c>
      <c r="E206" s="3">
        <f>INDEX('05_副属性基础'!$C$2:$C$11,MATCH(A206,'05_副属性基础'!$A$2:$A$11,0))</f>
        <v/>
      </c>
      <c r="F206" s="3">
        <f>INDEX('02_品质等级'!$D$2:$D$6,MATCH(C206,'02_品质等级'!$A$2:$A$6,0))</f>
        <v/>
      </c>
      <c r="G206" s="3">
        <f>INDEX('05_副属性基础'!$I$2:$I$13,MATCH(D206,'05_副属性基础'!$G$2:$G$13,0))</f>
        <v/>
      </c>
      <c r="H206" s="3">
        <f>INDEX('02_品质等级'!$G$2:$G$6,MATCH(C206,'02_品质等级'!$A$2:$A$6,0))</f>
        <v/>
      </c>
      <c r="I206" s="3">
        <f>INDEX('02_品质等级'!$H$2:$H$6,MATCH(C206,'02_品质等级'!$A$2:$A$6,0))</f>
        <v/>
      </c>
      <c r="J206" s="3">
        <f>E206*F206*G206*H206</f>
        <v/>
      </c>
      <c r="K206" s="3">
        <f>E206*F206*G206*I206</f>
        <v/>
      </c>
    </row>
    <row r="207">
      <c r="A207" s="2" t="inlineStr">
        <is>
          <t>攻击</t>
        </is>
      </c>
      <c r="B207" s="2" t="inlineStr">
        <is>
          <t>固定值</t>
        </is>
      </c>
      <c r="C207" s="2" t="inlineStr">
        <is>
          <t>紫</t>
        </is>
      </c>
      <c r="D207" s="2" t="n">
        <v>10</v>
      </c>
      <c r="E207" s="3">
        <f>INDEX('05_副属性基础'!$C$2:$C$11,MATCH(A207,'05_副属性基础'!$A$2:$A$11,0))</f>
        <v/>
      </c>
      <c r="F207" s="3">
        <f>INDEX('02_品质等级'!$D$2:$D$6,MATCH(C207,'02_品质等级'!$A$2:$A$6,0))</f>
        <v/>
      </c>
      <c r="G207" s="3">
        <f>INDEX('05_副属性基础'!$I$2:$I$13,MATCH(D207,'05_副属性基础'!$G$2:$G$13,0))</f>
        <v/>
      </c>
      <c r="H207" s="3">
        <f>INDEX('02_品质等级'!$G$2:$G$6,MATCH(C207,'02_品质等级'!$A$2:$A$6,0))</f>
        <v/>
      </c>
      <c r="I207" s="3">
        <f>INDEX('02_品质等级'!$H$2:$H$6,MATCH(C207,'02_品质等级'!$A$2:$A$6,0))</f>
        <v/>
      </c>
      <c r="J207" s="3">
        <f>E207*F207*G207*H207</f>
        <v/>
      </c>
      <c r="K207" s="3">
        <f>E207*F207*G207*I207</f>
        <v/>
      </c>
    </row>
    <row r="208">
      <c r="A208" s="2" t="inlineStr">
        <is>
          <t>攻击</t>
        </is>
      </c>
      <c r="B208" s="2" t="inlineStr">
        <is>
          <t>固定值</t>
        </is>
      </c>
      <c r="C208" s="2" t="inlineStr">
        <is>
          <t>紫</t>
        </is>
      </c>
      <c r="D208" s="2" t="n">
        <v>15</v>
      </c>
      <c r="E208" s="3">
        <f>INDEX('05_副属性基础'!$C$2:$C$11,MATCH(A208,'05_副属性基础'!$A$2:$A$11,0))</f>
        <v/>
      </c>
      <c r="F208" s="3">
        <f>INDEX('02_品质等级'!$D$2:$D$6,MATCH(C208,'02_品质等级'!$A$2:$A$6,0))</f>
        <v/>
      </c>
      <c r="G208" s="3">
        <f>INDEX('05_副属性基础'!$I$2:$I$13,MATCH(D208,'05_副属性基础'!$G$2:$G$13,0))</f>
        <v/>
      </c>
      <c r="H208" s="3">
        <f>INDEX('02_品质等级'!$G$2:$G$6,MATCH(C208,'02_品质等级'!$A$2:$A$6,0))</f>
        <v/>
      </c>
      <c r="I208" s="3">
        <f>INDEX('02_品质等级'!$H$2:$H$6,MATCH(C208,'02_品质等级'!$A$2:$A$6,0))</f>
        <v/>
      </c>
      <c r="J208" s="3">
        <f>E208*F208*G208*H208</f>
        <v/>
      </c>
      <c r="K208" s="3">
        <f>E208*F208*G208*I208</f>
        <v/>
      </c>
    </row>
    <row r="209">
      <c r="A209" s="2" t="inlineStr">
        <is>
          <t>攻击</t>
        </is>
      </c>
      <c r="B209" s="2" t="inlineStr">
        <is>
          <t>固定值</t>
        </is>
      </c>
      <c r="C209" s="2" t="inlineStr">
        <is>
          <t>紫</t>
        </is>
      </c>
      <c r="D209" s="2" t="n">
        <v>20</v>
      </c>
      <c r="E209" s="3">
        <f>INDEX('05_副属性基础'!$C$2:$C$11,MATCH(A209,'05_副属性基础'!$A$2:$A$11,0))</f>
        <v/>
      </c>
      <c r="F209" s="3">
        <f>INDEX('02_品质等级'!$D$2:$D$6,MATCH(C209,'02_品质等级'!$A$2:$A$6,0))</f>
        <v/>
      </c>
      <c r="G209" s="3">
        <f>INDEX('05_副属性基础'!$I$2:$I$13,MATCH(D209,'05_副属性基础'!$G$2:$G$13,0))</f>
        <v/>
      </c>
      <c r="H209" s="3">
        <f>INDEX('02_品质等级'!$G$2:$G$6,MATCH(C209,'02_品质等级'!$A$2:$A$6,0))</f>
        <v/>
      </c>
      <c r="I209" s="3">
        <f>INDEX('02_品质等级'!$H$2:$H$6,MATCH(C209,'02_品质等级'!$A$2:$A$6,0))</f>
        <v/>
      </c>
      <c r="J209" s="3">
        <f>E209*F209*G209*H209</f>
        <v/>
      </c>
      <c r="K209" s="3">
        <f>E209*F209*G209*I209</f>
        <v/>
      </c>
    </row>
    <row r="210">
      <c r="A210" s="2" t="inlineStr">
        <is>
          <t>攻击</t>
        </is>
      </c>
      <c r="B210" s="2" t="inlineStr">
        <is>
          <t>固定值</t>
        </is>
      </c>
      <c r="C210" s="2" t="inlineStr">
        <is>
          <t>紫</t>
        </is>
      </c>
      <c r="D210" s="2" t="n">
        <v>25</v>
      </c>
      <c r="E210" s="3">
        <f>INDEX('05_副属性基础'!$C$2:$C$11,MATCH(A210,'05_副属性基础'!$A$2:$A$11,0))</f>
        <v/>
      </c>
      <c r="F210" s="3">
        <f>INDEX('02_品质等级'!$D$2:$D$6,MATCH(C210,'02_品质等级'!$A$2:$A$6,0))</f>
        <v/>
      </c>
      <c r="G210" s="3">
        <f>INDEX('05_副属性基础'!$I$2:$I$13,MATCH(D210,'05_副属性基础'!$G$2:$G$13,0))</f>
        <v/>
      </c>
      <c r="H210" s="3">
        <f>INDEX('02_品质等级'!$G$2:$G$6,MATCH(C210,'02_品质等级'!$A$2:$A$6,0))</f>
        <v/>
      </c>
      <c r="I210" s="3">
        <f>INDEX('02_品质等级'!$H$2:$H$6,MATCH(C210,'02_品质等级'!$A$2:$A$6,0))</f>
        <v/>
      </c>
      <c r="J210" s="3">
        <f>E210*F210*G210*H210</f>
        <v/>
      </c>
      <c r="K210" s="3">
        <f>E210*F210*G210*I210</f>
        <v/>
      </c>
    </row>
    <row r="211">
      <c r="A211" s="2" t="inlineStr">
        <is>
          <t>攻击</t>
        </is>
      </c>
      <c r="B211" s="2" t="inlineStr">
        <is>
          <t>固定值</t>
        </is>
      </c>
      <c r="C211" s="2" t="inlineStr">
        <is>
          <t>紫</t>
        </is>
      </c>
      <c r="D211" s="2" t="n">
        <v>30</v>
      </c>
      <c r="E211" s="3">
        <f>INDEX('05_副属性基础'!$C$2:$C$11,MATCH(A211,'05_副属性基础'!$A$2:$A$11,0))</f>
        <v/>
      </c>
      <c r="F211" s="3">
        <f>INDEX('02_品质等级'!$D$2:$D$6,MATCH(C211,'02_品质等级'!$A$2:$A$6,0))</f>
        <v/>
      </c>
      <c r="G211" s="3">
        <f>INDEX('05_副属性基础'!$I$2:$I$13,MATCH(D211,'05_副属性基础'!$G$2:$G$13,0))</f>
        <v/>
      </c>
      <c r="H211" s="3">
        <f>INDEX('02_品质等级'!$G$2:$G$6,MATCH(C211,'02_品质等级'!$A$2:$A$6,0))</f>
        <v/>
      </c>
      <c r="I211" s="3">
        <f>INDEX('02_品质等级'!$H$2:$H$6,MATCH(C211,'02_品质等级'!$A$2:$A$6,0))</f>
        <v/>
      </c>
      <c r="J211" s="3">
        <f>E211*F211*G211*H211</f>
        <v/>
      </c>
      <c r="K211" s="3">
        <f>E211*F211*G211*I211</f>
        <v/>
      </c>
    </row>
    <row r="212">
      <c r="A212" s="2" t="inlineStr">
        <is>
          <t>攻击</t>
        </is>
      </c>
      <c r="B212" s="2" t="inlineStr">
        <is>
          <t>固定值</t>
        </is>
      </c>
      <c r="C212" s="2" t="inlineStr">
        <is>
          <t>紫</t>
        </is>
      </c>
      <c r="D212" s="2" t="n">
        <v>35</v>
      </c>
      <c r="E212" s="3">
        <f>INDEX('05_副属性基础'!$C$2:$C$11,MATCH(A212,'05_副属性基础'!$A$2:$A$11,0))</f>
        <v/>
      </c>
      <c r="F212" s="3">
        <f>INDEX('02_品质等级'!$D$2:$D$6,MATCH(C212,'02_品质等级'!$A$2:$A$6,0))</f>
        <v/>
      </c>
      <c r="G212" s="3">
        <f>INDEX('05_副属性基础'!$I$2:$I$13,MATCH(D212,'05_副属性基础'!$G$2:$G$13,0))</f>
        <v/>
      </c>
      <c r="H212" s="3">
        <f>INDEX('02_品质等级'!$G$2:$G$6,MATCH(C212,'02_品质等级'!$A$2:$A$6,0))</f>
        <v/>
      </c>
      <c r="I212" s="3">
        <f>INDEX('02_品质等级'!$H$2:$H$6,MATCH(C212,'02_品质等级'!$A$2:$A$6,0))</f>
        <v/>
      </c>
      <c r="J212" s="3">
        <f>E212*F212*G212*H212</f>
        <v/>
      </c>
      <c r="K212" s="3">
        <f>E212*F212*G212*I212</f>
        <v/>
      </c>
    </row>
    <row r="213">
      <c r="A213" s="2" t="inlineStr">
        <is>
          <t>攻击</t>
        </is>
      </c>
      <c r="B213" s="2" t="inlineStr">
        <is>
          <t>固定值</t>
        </is>
      </c>
      <c r="C213" s="2" t="inlineStr">
        <is>
          <t>紫</t>
        </is>
      </c>
      <c r="D213" s="2" t="n">
        <v>40</v>
      </c>
      <c r="E213" s="3">
        <f>INDEX('05_副属性基础'!$C$2:$C$11,MATCH(A213,'05_副属性基础'!$A$2:$A$11,0))</f>
        <v/>
      </c>
      <c r="F213" s="3">
        <f>INDEX('02_品质等级'!$D$2:$D$6,MATCH(C213,'02_品质等级'!$A$2:$A$6,0))</f>
        <v/>
      </c>
      <c r="G213" s="3">
        <f>INDEX('05_副属性基础'!$I$2:$I$13,MATCH(D213,'05_副属性基础'!$G$2:$G$13,0))</f>
        <v/>
      </c>
      <c r="H213" s="3">
        <f>INDEX('02_品质等级'!$G$2:$G$6,MATCH(C213,'02_品质等级'!$A$2:$A$6,0))</f>
        <v/>
      </c>
      <c r="I213" s="3">
        <f>INDEX('02_品质等级'!$H$2:$H$6,MATCH(C213,'02_品质等级'!$A$2:$A$6,0))</f>
        <v/>
      </c>
      <c r="J213" s="3">
        <f>E213*F213*G213*H213</f>
        <v/>
      </c>
      <c r="K213" s="3">
        <f>E213*F213*G213*I213</f>
        <v/>
      </c>
    </row>
    <row r="214">
      <c r="A214" s="2" t="inlineStr">
        <is>
          <t>攻击</t>
        </is>
      </c>
      <c r="B214" s="2" t="inlineStr">
        <is>
          <t>固定值</t>
        </is>
      </c>
      <c r="C214" s="2" t="inlineStr">
        <is>
          <t>紫</t>
        </is>
      </c>
      <c r="D214" s="2" t="n">
        <v>45</v>
      </c>
      <c r="E214" s="3">
        <f>INDEX('05_副属性基础'!$C$2:$C$11,MATCH(A214,'05_副属性基础'!$A$2:$A$11,0))</f>
        <v/>
      </c>
      <c r="F214" s="3">
        <f>INDEX('02_品质等级'!$D$2:$D$6,MATCH(C214,'02_品质等级'!$A$2:$A$6,0))</f>
        <v/>
      </c>
      <c r="G214" s="3">
        <f>INDEX('05_副属性基础'!$I$2:$I$13,MATCH(D214,'05_副属性基础'!$G$2:$G$13,0))</f>
        <v/>
      </c>
      <c r="H214" s="3">
        <f>INDEX('02_品质等级'!$G$2:$G$6,MATCH(C214,'02_品质等级'!$A$2:$A$6,0))</f>
        <v/>
      </c>
      <c r="I214" s="3">
        <f>INDEX('02_品质等级'!$H$2:$H$6,MATCH(C214,'02_品质等级'!$A$2:$A$6,0))</f>
        <v/>
      </c>
      <c r="J214" s="3">
        <f>E214*F214*G214*H214</f>
        <v/>
      </c>
      <c r="K214" s="3">
        <f>E214*F214*G214*I214</f>
        <v/>
      </c>
    </row>
    <row r="215">
      <c r="A215" s="2" t="inlineStr">
        <is>
          <t>攻击</t>
        </is>
      </c>
      <c r="B215" s="2" t="inlineStr">
        <is>
          <t>固定值</t>
        </is>
      </c>
      <c r="C215" s="2" t="inlineStr">
        <is>
          <t>紫</t>
        </is>
      </c>
      <c r="D215" s="2" t="n">
        <v>50</v>
      </c>
      <c r="E215" s="3">
        <f>INDEX('05_副属性基础'!$C$2:$C$11,MATCH(A215,'05_副属性基础'!$A$2:$A$11,0))</f>
        <v/>
      </c>
      <c r="F215" s="3">
        <f>INDEX('02_品质等级'!$D$2:$D$6,MATCH(C215,'02_品质等级'!$A$2:$A$6,0))</f>
        <v/>
      </c>
      <c r="G215" s="3">
        <f>INDEX('05_副属性基础'!$I$2:$I$13,MATCH(D215,'05_副属性基础'!$G$2:$G$13,0))</f>
        <v/>
      </c>
      <c r="H215" s="3">
        <f>INDEX('02_品质等级'!$G$2:$G$6,MATCH(C215,'02_品质等级'!$A$2:$A$6,0))</f>
        <v/>
      </c>
      <c r="I215" s="3">
        <f>INDEX('02_品质等级'!$H$2:$H$6,MATCH(C215,'02_品质等级'!$A$2:$A$6,0))</f>
        <v/>
      </c>
      <c r="J215" s="3">
        <f>E215*F215*G215*H215</f>
        <v/>
      </c>
      <c r="K215" s="3">
        <f>E215*F215*G215*I215</f>
        <v/>
      </c>
    </row>
    <row r="216">
      <c r="A216" s="2" t="inlineStr">
        <is>
          <t>攻击</t>
        </is>
      </c>
      <c r="B216" s="2" t="inlineStr">
        <is>
          <t>固定值</t>
        </is>
      </c>
      <c r="C216" s="2" t="inlineStr">
        <is>
          <t>紫</t>
        </is>
      </c>
      <c r="D216" s="2" t="n">
        <v>55</v>
      </c>
      <c r="E216" s="3">
        <f>INDEX('05_副属性基础'!$C$2:$C$11,MATCH(A216,'05_副属性基础'!$A$2:$A$11,0))</f>
        <v/>
      </c>
      <c r="F216" s="3">
        <f>INDEX('02_品质等级'!$D$2:$D$6,MATCH(C216,'02_品质等级'!$A$2:$A$6,0))</f>
        <v/>
      </c>
      <c r="G216" s="3">
        <f>INDEX('05_副属性基础'!$I$2:$I$13,MATCH(D216,'05_副属性基础'!$G$2:$G$13,0))</f>
        <v/>
      </c>
      <c r="H216" s="3">
        <f>INDEX('02_品质等级'!$G$2:$G$6,MATCH(C216,'02_品质等级'!$A$2:$A$6,0))</f>
        <v/>
      </c>
      <c r="I216" s="3">
        <f>INDEX('02_品质等级'!$H$2:$H$6,MATCH(C216,'02_品质等级'!$A$2:$A$6,0))</f>
        <v/>
      </c>
      <c r="J216" s="3">
        <f>E216*F216*G216*H216</f>
        <v/>
      </c>
      <c r="K216" s="3">
        <f>E216*F216*G216*I216</f>
        <v/>
      </c>
    </row>
    <row r="217">
      <c r="A217" s="2" t="inlineStr">
        <is>
          <t>攻击</t>
        </is>
      </c>
      <c r="B217" s="2" t="inlineStr">
        <is>
          <t>固定值</t>
        </is>
      </c>
      <c r="C217" s="2" t="inlineStr">
        <is>
          <t>紫</t>
        </is>
      </c>
      <c r="D217" s="2" t="n">
        <v>60</v>
      </c>
      <c r="E217" s="3">
        <f>INDEX('05_副属性基础'!$C$2:$C$11,MATCH(A217,'05_副属性基础'!$A$2:$A$11,0))</f>
        <v/>
      </c>
      <c r="F217" s="3">
        <f>INDEX('02_品质等级'!$D$2:$D$6,MATCH(C217,'02_品质等级'!$A$2:$A$6,0))</f>
        <v/>
      </c>
      <c r="G217" s="3">
        <f>INDEX('05_副属性基础'!$I$2:$I$13,MATCH(D217,'05_副属性基础'!$G$2:$G$13,0))</f>
        <v/>
      </c>
      <c r="H217" s="3">
        <f>INDEX('02_品质等级'!$G$2:$G$6,MATCH(C217,'02_品质等级'!$A$2:$A$6,0))</f>
        <v/>
      </c>
      <c r="I217" s="3">
        <f>INDEX('02_品质等级'!$H$2:$H$6,MATCH(C217,'02_品质等级'!$A$2:$A$6,0))</f>
        <v/>
      </c>
      <c r="J217" s="3">
        <f>E217*F217*G217*H217</f>
        <v/>
      </c>
      <c r="K217" s="3">
        <f>E217*F217*G217*I217</f>
        <v/>
      </c>
    </row>
    <row r="218">
      <c r="A218" s="2" t="inlineStr">
        <is>
          <t>攻击</t>
        </is>
      </c>
      <c r="B218" s="2" t="inlineStr">
        <is>
          <t>固定值</t>
        </is>
      </c>
      <c r="C218" s="2" t="inlineStr">
        <is>
          <t>金</t>
        </is>
      </c>
      <c r="D218" s="2" t="n">
        <v>5</v>
      </c>
      <c r="E218" s="3">
        <f>INDEX('05_副属性基础'!$C$2:$C$11,MATCH(A218,'05_副属性基础'!$A$2:$A$11,0))</f>
        <v/>
      </c>
      <c r="F218" s="3">
        <f>INDEX('02_品质等级'!$D$2:$D$6,MATCH(C218,'02_品质等级'!$A$2:$A$6,0))</f>
        <v/>
      </c>
      <c r="G218" s="3">
        <f>INDEX('05_副属性基础'!$I$2:$I$13,MATCH(D218,'05_副属性基础'!$G$2:$G$13,0))</f>
        <v/>
      </c>
      <c r="H218" s="3">
        <f>INDEX('02_品质等级'!$G$2:$G$6,MATCH(C218,'02_品质等级'!$A$2:$A$6,0))</f>
        <v/>
      </c>
      <c r="I218" s="3">
        <f>INDEX('02_品质等级'!$H$2:$H$6,MATCH(C218,'02_品质等级'!$A$2:$A$6,0))</f>
        <v/>
      </c>
      <c r="J218" s="3">
        <f>E218*F218*G218*H218</f>
        <v/>
      </c>
      <c r="K218" s="3">
        <f>E218*F218*G218*I218</f>
        <v/>
      </c>
    </row>
    <row r="219">
      <c r="A219" s="2" t="inlineStr">
        <is>
          <t>攻击</t>
        </is>
      </c>
      <c r="B219" s="2" t="inlineStr">
        <is>
          <t>固定值</t>
        </is>
      </c>
      <c r="C219" s="2" t="inlineStr">
        <is>
          <t>金</t>
        </is>
      </c>
      <c r="D219" s="2" t="n">
        <v>10</v>
      </c>
      <c r="E219" s="3">
        <f>INDEX('05_副属性基础'!$C$2:$C$11,MATCH(A219,'05_副属性基础'!$A$2:$A$11,0))</f>
        <v/>
      </c>
      <c r="F219" s="3">
        <f>INDEX('02_品质等级'!$D$2:$D$6,MATCH(C219,'02_品质等级'!$A$2:$A$6,0))</f>
        <v/>
      </c>
      <c r="G219" s="3">
        <f>INDEX('05_副属性基础'!$I$2:$I$13,MATCH(D219,'05_副属性基础'!$G$2:$G$13,0))</f>
        <v/>
      </c>
      <c r="H219" s="3">
        <f>INDEX('02_品质等级'!$G$2:$G$6,MATCH(C219,'02_品质等级'!$A$2:$A$6,0))</f>
        <v/>
      </c>
      <c r="I219" s="3">
        <f>INDEX('02_品质等级'!$H$2:$H$6,MATCH(C219,'02_品质等级'!$A$2:$A$6,0))</f>
        <v/>
      </c>
      <c r="J219" s="3">
        <f>E219*F219*G219*H219</f>
        <v/>
      </c>
      <c r="K219" s="3">
        <f>E219*F219*G219*I219</f>
        <v/>
      </c>
    </row>
    <row r="220">
      <c r="A220" s="2" t="inlineStr">
        <is>
          <t>攻击</t>
        </is>
      </c>
      <c r="B220" s="2" t="inlineStr">
        <is>
          <t>固定值</t>
        </is>
      </c>
      <c r="C220" s="2" t="inlineStr">
        <is>
          <t>金</t>
        </is>
      </c>
      <c r="D220" s="2" t="n">
        <v>15</v>
      </c>
      <c r="E220" s="3">
        <f>INDEX('05_副属性基础'!$C$2:$C$11,MATCH(A220,'05_副属性基础'!$A$2:$A$11,0))</f>
        <v/>
      </c>
      <c r="F220" s="3">
        <f>INDEX('02_品质等级'!$D$2:$D$6,MATCH(C220,'02_品质等级'!$A$2:$A$6,0))</f>
        <v/>
      </c>
      <c r="G220" s="3">
        <f>INDEX('05_副属性基础'!$I$2:$I$13,MATCH(D220,'05_副属性基础'!$G$2:$G$13,0))</f>
        <v/>
      </c>
      <c r="H220" s="3">
        <f>INDEX('02_品质等级'!$G$2:$G$6,MATCH(C220,'02_品质等级'!$A$2:$A$6,0))</f>
        <v/>
      </c>
      <c r="I220" s="3">
        <f>INDEX('02_品质等级'!$H$2:$H$6,MATCH(C220,'02_品质等级'!$A$2:$A$6,0))</f>
        <v/>
      </c>
      <c r="J220" s="3">
        <f>E220*F220*G220*H220</f>
        <v/>
      </c>
      <c r="K220" s="3">
        <f>E220*F220*G220*I220</f>
        <v/>
      </c>
    </row>
    <row r="221">
      <c r="A221" s="2" t="inlineStr">
        <is>
          <t>攻击</t>
        </is>
      </c>
      <c r="B221" s="2" t="inlineStr">
        <is>
          <t>固定值</t>
        </is>
      </c>
      <c r="C221" s="2" t="inlineStr">
        <is>
          <t>金</t>
        </is>
      </c>
      <c r="D221" s="2" t="n">
        <v>20</v>
      </c>
      <c r="E221" s="3">
        <f>INDEX('05_副属性基础'!$C$2:$C$11,MATCH(A221,'05_副属性基础'!$A$2:$A$11,0))</f>
        <v/>
      </c>
      <c r="F221" s="3">
        <f>INDEX('02_品质等级'!$D$2:$D$6,MATCH(C221,'02_品质等级'!$A$2:$A$6,0))</f>
        <v/>
      </c>
      <c r="G221" s="3">
        <f>INDEX('05_副属性基础'!$I$2:$I$13,MATCH(D221,'05_副属性基础'!$G$2:$G$13,0))</f>
        <v/>
      </c>
      <c r="H221" s="3">
        <f>INDEX('02_品质等级'!$G$2:$G$6,MATCH(C221,'02_品质等级'!$A$2:$A$6,0))</f>
        <v/>
      </c>
      <c r="I221" s="3">
        <f>INDEX('02_品质等级'!$H$2:$H$6,MATCH(C221,'02_品质等级'!$A$2:$A$6,0))</f>
        <v/>
      </c>
      <c r="J221" s="3">
        <f>E221*F221*G221*H221</f>
        <v/>
      </c>
      <c r="K221" s="3">
        <f>E221*F221*G221*I221</f>
        <v/>
      </c>
    </row>
    <row r="222">
      <c r="A222" s="2" t="inlineStr">
        <is>
          <t>攻击</t>
        </is>
      </c>
      <c r="B222" s="2" t="inlineStr">
        <is>
          <t>固定值</t>
        </is>
      </c>
      <c r="C222" s="2" t="inlineStr">
        <is>
          <t>金</t>
        </is>
      </c>
      <c r="D222" s="2" t="n">
        <v>25</v>
      </c>
      <c r="E222" s="3">
        <f>INDEX('05_副属性基础'!$C$2:$C$11,MATCH(A222,'05_副属性基础'!$A$2:$A$11,0))</f>
        <v/>
      </c>
      <c r="F222" s="3">
        <f>INDEX('02_品质等级'!$D$2:$D$6,MATCH(C222,'02_品质等级'!$A$2:$A$6,0))</f>
        <v/>
      </c>
      <c r="G222" s="3">
        <f>INDEX('05_副属性基础'!$I$2:$I$13,MATCH(D222,'05_副属性基础'!$G$2:$G$13,0))</f>
        <v/>
      </c>
      <c r="H222" s="3">
        <f>INDEX('02_品质等级'!$G$2:$G$6,MATCH(C222,'02_品质等级'!$A$2:$A$6,0))</f>
        <v/>
      </c>
      <c r="I222" s="3">
        <f>INDEX('02_品质等级'!$H$2:$H$6,MATCH(C222,'02_品质等级'!$A$2:$A$6,0))</f>
        <v/>
      </c>
      <c r="J222" s="3">
        <f>E222*F222*G222*H222</f>
        <v/>
      </c>
      <c r="K222" s="3">
        <f>E222*F222*G222*I222</f>
        <v/>
      </c>
    </row>
    <row r="223">
      <c r="A223" s="2" t="inlineStr">
        <is>
          <t>攻击</t>
        </is>
      </c>
      <c r="B223" s="2" t="inlineStr">
        <is>
          <t>固定值</t>
        </is>
      </c>
      <c r="C223" s="2" t="inlineStr">
        <is>
          <t>金</t>
        </is>
      </c>
      <c r="D223" s="2" t="n">
        <v>30</v>
      </c>
      <c r="E223" s="3">
        <f>INDEX('05_副属性基础'!$C$2:$C$11,MATCH(A223,'05_副属性基础'!$A$2:$A$11,0))</f>
        <v/>
      </c>
      <c r="F223" s="3">
        <f>INDEX('02_品质等级'!$D$2:$D$6,MATCH(C223,'02_品质等级'!$A$2:$A$6,0))</f>
        <v/>
      </c>
      <c r="G223" s="3">
        <f>INDEX('05_副属性基础'!$I$2:$I$13,MATCH(D223,'05_副属性基础'!$G$2:$G$13,0))</f>
        <v/>
      </c>
      <c r="H223" s="3">
        <f>INDEX('02_品质等级'!$G$2:$G$6,MATCH(C223,'02_品质等级'!$A$2:$A$6,0))</f>
        <v/>
      </c>
      <c r="I223" s="3">
        <f>INDEX('02_品质等级'!$H$2:$H$6,MATCH(C223,'02_品质等级'!$A$2:$A$6,0))</f>
        <v/>
      </c>
      <c r="J223" s="3">
        <f>E223*F223*G223*H223</f>
        <v/>
      </c>
      <c r="K223" s="3">
        <f>E223*F223*G223*I223</f>
        <v/>
      </c>
    </row>
    <row r="224">
      <c r="A224" s="2" t="inlineStr">
        <is>
          <t>攻击</t>
        </is>
      </c>
      <c r="B224" s="2" t="inlineStr">
        <is>
          <t>固定值</t>
        </is>
      </c>
      <c r="C224" s="2" t="inlineStr">
        <is>
          <t>金</t>
        </is>
      </c>
      <c r="D224" s="2" t="n">
        <v>35</v>
      </c>
      <c r="E224" s="3">
        <f>INDEX('05_副属性基础'!$C$2:$C$11,MATCH(A224,'05_副属性基础'!$A$2:$A$11,0))</f>
        <v/>
      </c>
      <c r="F224" s="3">
        <f>INDEX('02_品质等级'!$D$2:$D$6,MATCH(C224,'02_品质等级'!$A$2:$A$6,0))</f>
        <v/>
      </c>
      <c r="G224" s="3">
        <f>INDEX('05_副属性基础'!$I$2:$I$13,MATCH(D224,'05_副属性基础'!$G$2:$G$13,0))</f>
        <v/>
      </c>
      <c r="H224" s="3">
        <f>INDEX('02_品质等级'!$G$2:$G$6,MATCH(C224,'02_品质等级'!$A$2:$A$6,0))</f>
        <v/>
      </c>
      <c r="I224" s="3">
        <f>INDEX('02_品质等级'!$H$2:$H$6,MATCH(C224,'02_品质等级'!$A$2:$A$6,0))</f>
        <v/>
      </c>
      <c r="J224" s="3">
        <f>E224*F224*G224*H224</f>
        <v/>
      </c>
      <c r="K224" s="3">
        <f>E224*F224*G224*I224</f>
        <v/>
      </c>
    </row>
    <row r="225">
      <c r="A225" s="2" t="inlineStr">
        <is>
          <t>攻击</t>
        </is>
      </c>
      <c r="B225" s="2" t="inlineStr">
        <is>
          <t>固定值</t>
        </is>
      </c>
      <c r="C225" s="2" t="inlineStr">
        <is>
          <t>金</t>
        </is>
      </c>
      <c r="D225" s="2" t="n">
        <v>40</v>
      </c>
      <c r="E225" s="3">
        <f>INDEX('05_副属性基础'!$C$2:$C$11,MATCH(A225,'05_副属性基础'!$A$2:$A$11,0))</f>
        <v/>
      </c>
      <c r="F225" s="3">
        <f>INDEX('02_品质等级'!$D$2:$D$6,MATCH(C225,'02_品质等级'!$A$2:$A$6,0))</f>
        <v/>
      </c>
      <c r="G225" s="3">
        <f>INDEX('05_副属性基础'!$I$2:$I$13,MATCH(D225,'05_副属性基础'!$G$2:$G$13,0))</f>
        <v/>
      </c>
      <c r="H225" s="3">
        <f>INDEX('02_品质等级'!$G$2:$G$6,MATCH(C225,'02_品质等级'!$A$2:$A$6,0))</f>
        <v/>
      </c>
      <c r="I225" s="3">
        <f>INDEX('02_品质等级'!$H$2:$H$6,MATCH(C225,'02_品质等级'!$A$2:$A$6,0))</f>
        <v/>
      </c>
      <c r="J225" s="3">
        <f>E225*F225*G225*H225</f>
        <v/>
      </c>
      <c r="K225" s="3">
        <f>E225*F225*G225*I225</f>
        <v/>
      </c>
    </row>
    <row r="226">
      <c r="A226" s="2" t="inlineStr">
        <is>
          <t>攻击</t>
        </is>
      </c>
      <c r="B226" s="2" t="inlineStr">
        <is>
          <t>固定值</t>
        </is>
      </c>
      <c r="C226" s="2" t="inlineStr">
        <is>
          <t>金</t>
        </is>
      </c>
      <c r="D226" s="2" t="n">
        <v>45</v>
      </c>
      <c r="E226" s="3">
        <f>INDEX('05_副属性基础'!$C$2:$C$11,MATCH(A226,'05_副属性基础'!$A$2:$A$11,0))</f>
        <v/>
      </c>
      <c r="F226" s="3">
        <f>INDEX('02_品质等级'!$D$2:$D$6,MATCH(C226,'02_品质等级'!$A$2:$A$6,0))</f>
        <v/>
      </c>
      <c r="G226" s="3">
        <f>INDEX('05_副属性基础'!$I$2:$I$13,MATCH(D226,'05_副属性基础'!$G$2:$G$13,0))</f>
        <v/>
      </c>
      <c r="H226" s="3">
        <f>INDEX('02_品质等级'!$G$2:$G$6,MATCH(C226,'02_品质等级'!$A$2:$A$6,0))</f>
        <v/>
      </c>
      <c r="I226" s="3">
        <f>INDEX('02_品质等级'!$H$2:$H$6,MATCH(C226,'02_品质等级'!$A$2:$A$6,0))</f>
        <v/>
      </c>
      <c r="J226" s="3">
        <f>E226*F226*G226*H226</f>
        <v/>
      </c>
      <c r="K226" s="3">
        <f>E226*F226*G226*I226</f>
        <v/>
      </c>
    </row>
    <row r="227">
      <c r="A227" s="2" t="inlineStr">
        <is>
          <t>攻击</t>
        </is>
      </c>
      <c r="B227" s="2" t="inlineStr">
        <is>
          <t>固定值</t>
        </is>
      </c>
      <c r="C227" s="2" t="inlineStr">
        <is>
          <t>金</t>
        </is>
      </c>
      <c r="D227" s="2" t="n">
        <v>50</v>
      </c>
      <c r="E227" s="3">
        <f>INDEX('05_副属性基础'!$C$2:$C$11,MATCH(A227,'05_副属性基础'!$A$2:$A$11,0))</f>
        <v/>
      </c>
      <c r="F227" s="3">
        <f>INDEX('02_品质等级'!$D$2:$D$6,MATCH(C227,'02_品质等级'!$A$2:$A$6,0))</f>
        <v/>
      </c>
      <c r="G227" s="3">
        <f>INDEX('05_副属性基础'!$I$2:$I$13,MATCH(D227,'05_副属性基础'!$G$2:$G$13,0))</f>
        <v/>
      </c>
      <c r="H227" s="3">
        <f>INDEX('02_品质等级'!$G$2:$G$6,MATCH(C227,'02_品质等级'!$A$2:$A$6,0))</f>
        <v/>
      </c>
      <c r="I227" s="3">
        <f>INDEX('02_品质等级'!$H$2:$H$6,MATCH(C227,'02_品质等级'!$A$2:$A$6,0))</f>
        <v/>
      </c>
      <c r="J227" s="3">
        <f>E227*F227*G227*H227</f>
        <v/>
      </c>
      <c r="K227" s="3">
        <f>E227*F227*G227*I227</f>
        <v/>
      </c>
    </row>
    <row r="228">
      <c r="A228" s="2" t="inlineStr">
        <is>
          <t>攻击</t>
        </is>
      </c>
      <c r="B228" s="2" t="inlineStr">
        <is>
          <t>固定值</t>
        </is>
      </c>
      <c r="C228" s="2" t="inlineStr">
        <is>
          <t>金</t>
        </is>
      </c>
      <c r="D228" s="2" t="n">
        <v>55</v>
      </c>
      <c r="E228" s="3">
        <f>INDEX('05_副属性基础'!$C$2:$C$11,MATCH(A228,'05_副属性基础'!$A$2:$A$11,0))</f>
        <v/>
      </c>
      <c r="F228" s="3">
        <f>INDEX('02_品质等级'!$D$2:$D$6,MATCH(C228,'02_品质等级'!$A$2:$A$6,0))</f>
        <v/>
      </c>
      <c r="G228" s="3">
        <f>INDEX('05_副属性基础'!$I$2:$I$13,MATCH(D228,'05_副属性基础'!$G$2:$G$13,0))</f>
        <v/>
      </c>
      <c r="H228" s="3">
        <f>INDEX('02_品质等级'!$G$2:$G$6,MATCH(C228,'02_品质等级'!$A$2:$A$6,0))</f>
        <v/>
      </c>
      <c r="I228" s="3">
        <f>INDEX('02_品质等级'!$H$2:$H$6,MATCH(C228,'02_品质等级'!$A$2:$A$6,0))</f>
        <v/>
      </c>
      <c r="J228" s="3">
        <f>E228*F228*G228*H228</f>
        <v/>
      </c>
      <c r="K228" s="3">
        <f>E228*F228*G228*I228</f>
        <v/>
      </c>
    </row>
    <row r="229">
      <c r="A229" s="2" t="inlineStr">
        <is>
          <t>攻击</t>
        </is>
      </c>
      <c r="B229" s="2" t="inlineStr">
        <is>
          <t>固定值</t>
        </is>
      </c>
      <c r="C229" s="2" t="inlineStr">
        <is>
          <t>金</t>
        </is>
      </c>
      <c r="D229" s="2" t="n">
        <v>60</v>
      </c>
      <c r="E229" s="3">
        <f>INDEX('05_副属性基础'!$C$2:$C$11,MATCH(A229,'05_副属性基础'!$A$2:$A$11,0))</f>
        <v/>
      </c>
      <c r="F229" s="3">
        <f>INDEX('02_品质等级'!$D$2:$D$6,MATCH(C229,'02_品质等级'!$A$2:$A$6,0))</f>
        <v/>
      </c>
      <c r="G229" s="3">
        <f>INDEX('05_副属性基础'!$I$2:$I$13,MATCH(D229,'05_副属性基础'!$G$2:$G$13,0))</f>
        <v/>
      </c>
      <c r="H229" s="3">
        <f>INDEX('02_品质等级'!$G$2:$G$6,MATCH(C229,'02_品质等级'!$A$2:$A$6,0))</f>
        <v/>
      </c>
      <c r="I229" s="3">
        <f>INDEX('02_品质等级'!$H$2:$H$6,MATCH(C229,'02_品质等级'!$A$2:$A$6,0))</f>
        <v/>
      </c>
      <c r="J229" s="3">
        <f>E229*F229*G229*H229</f>
        <v/>
      </c>
      <c r="K229" s="3">
        <f>E229*F229*G229*I229</f>
        <v/>
      </c>
    </row>
    <row r="230">
      <c r="A230" s="2" t="inlineStr">
        <is>
          <t>攻击</t>
        </is>
      </c>
      <c r="B230" s="2" t="inlineStr">
        <is>
          <t>固定值</t>
        </is>
      </c>
      <c r="C230" s="2" t="inlineStr">
        <is>
          <t>红</t>
        </is>
      </c>
      <c r="D230" s="2" t="n">
        <v>5</v>
      </c>
      <c r="E230" s="3">
        <f>INDEX('05_副属性基础'!$C$2:$C$11,MATCH(A230,'05_副属性基础'!$A$2:$A$11,0))</f>
        <v/>
      </c>
      <c r="F230" s="3">
        <f>INDEX('02_品质等级'!$D$2:$D$6,MATCH(C230,'02_品质等级'!$A$2:$A$6,0))</f>
        <v/>
      </c>
      <c r="G230" s="3">
        <f>INDEX('05_副属性基础'!$I$2:$I$13,MATCH(D230,'05_副属性基础'!$G$2:$G$13,0))</f>
        <v/>
      </c>
      <c r="H230" s="3">
        <f>INDEX('02_品质等级'!$G$2:$G$6,MATCH(C230,'02_品质等级'!$A$2:$A$6,0))</f>
        <v/>
      </c>
      <c r="I230" s="3">
        <f>INDEX('02_品质等级'!$H$2:$H$6,MATCH(C230,'02_品质等级'!$A$2:$A$6,0))</f>
        <v/>
      </c>
      <c r="J230" s="3">
        <f>E230*F230*G230*H230</f>
        <v/>
      </c>
      <c r="K230" s="3">
        <f>E230*F230*G230*I230</f>
        <v/>
      </c>
    </row>
    <row r="231">
      <c r="A231" s="2" t="inlineStr">
        <is>
          <t>攻击</t>
        </is>
      </c>
      <c r="B231" s="2" t="inlineStr">
        <is>
          <t>固定值</t>
        </is>
      </c>
      <c r="C231" s="2" t="inlineStr">
        <is>
          <t>红</t>
        </is>
      </c>
      <c r="D231" s="2" t="n">
        <v>10</v>
      </c>
      <c r="E231" s="3">
        <f>INDEX('05_副属性基础'!$C$2:$C$11,MATCH(A231,'05_副属性基础'!$A$2:$A$11,0))</f>
        <v/>
      </c>
      <c r="F231" s="3">
        <f>INDEX('02_品质等级'!$D$2:$D$6,MATCH(C231,'02_品质等级'!$A$2:$A$6,0))</f>
        <v/>
      </c>
      <c r="G231" s="3">
        <f>INDEX('05_副属性基础'!$I$2:$I$13,MATCH(D231,'05_副属性基础'!$G$2:$G$13,0))</f>
        <v/>
      </c>
      <c r="H231" s="3">
        <f>INDEX('02_品质等级'!$G$2:$G$6,MATCH(C231,'02_品质等级'!$A$2:$A$6,0))</f>
        <v/>
      </c>
      <c r="I231" s="3">
        <f>INDEX('02_品质等级'!$H$2:$H$6,MATCH(C231,'02_品质等级'!$A$2:$A$6,0))</f>
        <v/>
      </c>
      <c r="J231" s="3">
        <f>E231*F231*G231*H231</f>
        <v/>
      </c>
      <c r="K231" s="3">
        <f>E231*F231*G231*I231</f>
        <v/>
      </c>
    </row>
    <row r="232">
      <c r="A232" s="2" t="inlineStr">
        <is>
          <t>攻击</t>
        </is>
      </c>
      <c r="B232" s="2" t="inlineStr">
        <is>
          <t>固定值</t>
        </is>
      </c>
      <c r="C232" s="2" t="inlineStr">
        <is>
          <t>红</t>
        </is>
      </c>
      <c r="D232" s="2" t="n">
        <v>15</v>
      </c>
      <c r="E232" s="3">
        <f>INDEX('05_副属性基础'!$C$2:$C$11,MATCH(A232,'05_副属性基础'!$A$2:$A$11,0))</f>
        <v/>
      </c>
      <c r="F232" s="3">
        <f>INDEX('02_品质等级'!$D$2:$D$6,MATCH(C232,'02_品质等级'!$A$2:$A$6,0))</f>
        <v/>
      </c>
      <c r="G232" s="3">
        <f>INDEX('05_副属性基础'!$I$2:$I$13,MATCH(D232,'05_副属性基础'!$G$2:$G$13,0))</f>
        <v/>
      </c>
      <c r="H232" s="3">
        <f>INDEX('02_品质等级'!$G$2:$G$6,MATCH(C232,'02_品质等级'!$A$2:$A$6,0))</f>
        <v/>
      </c>
      <c r="I232" s="3">
        <f>INDEX('02_品质等级'!$H$2:$H$6,MATCH(C232,'02_品质等级'!$A$2:$A$6,0))</f>
        <v/>
      </c>
      <c r="J232" s="3">
        <f>E232*F232*G232*H232</f>
        <v/>
      </c>
      <c r="K232" s="3">
        <f>E232*F232*G232*I232</f>
        <v/>
      </c>
    </row>
    <row r="233">
      <c r="A233" s="2" t="inlineStr">
        <is>
          <t>攻击</t>
        </is>
      </c>
      <c r="B233" s="2" t="inlineStr">
        <is>
          <t>固定值</t>
        </is>
      </c>
      <c r="C233" s="2" t="inlineStr">
        <is>
          <t>红</t>
        </is>
      </c>
      <c r="D233" s="2" t="n">
        <v>20</v>
      </c>
      <c r="E233" s="3">
        <f>INDEX('05_副属性基础'!$C$2:$C$11,MATCH(A233,'05_副属性基础'!$A$2:$A$11,0))</f>
        <v/>
      </c>
      <c r="F233" s="3">
        <f>INDEX('02_品质等级'!$D$2:$D$6,MATCH(C233,'02_品质等级'!$A$2:$A$6,0))</f>
        <v/>
      </c>
      <c r="G233" s="3">
        <f>INDEX('05_副属性基础'!$I$2:$I$13,MATCH(D233,'05_副属性基础'!$G$2:$G$13,0))</f>
        <v/>
      </c>
      <c r="H233" s="3">
        <f>INDEX('02_品质等级'!$G$2:$G$6,MATCH(C233,'02_品质等级'!$A$2:$A$6,0))</f>
        <v/>
      </c>
      <c r="I233" s="3">
        <f>INDEX('02_品质等级'!$H$2:$H$6,MATCH(C233,'02_品质等级'!$A$2:$A$6,0))</f>
        <v/>
      </c>
      <c r="J233" s="3">
        <f>E233*F233*G233*H233</f>
        <v/>
      </c>
      <c r="K233" s="3">
        <f>E233*F233*G233*I233</f>
        <v/>
      </c>
    </row>
    <row r="234">
      <c r="A234" s="2" t="inlineStr">
        <is>
          <t>攻击</t>
        </is>
      </c>
      <c r="B234" s="2" t="inlineStr">
        <is>
          <t>固定值</t>
        </is>
      </c>
      <c r="C234" s="2" t="inlineStr">
        <is>
          <t>红</t>
        </is>
      </c>
      <c r="D234" s="2" t="n">
        <v>25</v>
      </c>
      <c r="E234" s="3">
        <f>INDEX('05_副属性基础'!$C$2:$C$11,MATCH(A234,'05_副属性基础'!$A$2:$A$11,0))</f>
        <v/>
      </c>
      <c r="F234" s="3">
        <f>INDEX('02_品质等级'!$D$2:$D$6,MATCH(C234,'02_品质等级'!$A$2:$A$6,0))</f>
        <v/>
      </c>
      <c r="G234" s="3">
        <f>INDEX('05_副属性基础'!$I$2:$I$13,MATCH(D234,'05_副属性基础'!$G$2:$G$13,0))</f>
        <v/>
      </c>
      <c r="H234" s="3">
        <f>INDEX('02_品质等级'!$G$2:$G$6,MATCH(C234,'02_品质等级'!$A$2:$A$6,0))</f>
        <v/>
      </c>
      <c r="I234" s="3">
        <f>INDEX('02_品质等级'!$H$2:$H$6,MATCH(C234,'02_品质等级'!$A$2:$A$6,0))</f>
        <v/>
      </c>
      <c r="J234" s="3">
        <f>E234*F234*G234*H234</f>
        <v/>
      </c>
      <c r="K234" s="3">
        <f>E234*F234*G234*I234</f>
        <v/>
      </c>
    </row>
    <row r="235">
      <c r="A235" s="2" t="inlineStr">
        <is>
          <t>攻击</t>
        </is>
      </c>
      <c r="B235" s="2" t="inlineStr">
        <is>
          <t>固定值</t>
        </is>
      </c>
      <c r="C235" s="2" t="inlineStr">
        <is>
          <t>红</t>
        </is>
      </c>
      <c r="D235" s="2" t="n">
        <v>30</v>
      </c>
      <c r="E235" s="3">
        <f>INDEX('05_副属性基础'!$C$2:$C$11,MATCH(A235,'05_副属性基础'!$A$2:$A$11,0))</f>
        <v/>
      </c>
      <c r="F235" s="3">
        <f>INDEX('02_品质等级'!$D$2:$D$6,MATCH(C235,'02_品质等级'!$A$2:$A$6,0))</f>
        <v/>
      </c>
      <c r="G235" s="3">
        <f>INDEX('05_副属性基础'!$I$2:$I$13,MATCH(D235,'05_副属性基础'!$G$2:$G$13,0))</f>
        <v/>
      </c>
      <c r="H235" s="3">
        <f>INDEX('02_品质等级'!$G$2:$G$6,MATCH(C235,'02_品质等级'!$A$2:$A$6,0))</f>
        <v/>
      </c>
      <c r="I235" s="3">
        <f>INDEX('02_品质等级'!$H$2:$H$6,MATCH(C235,'02_品质等级'!$A$2:$A$6,0))</f>
        <v/>
      </c>
      <c r="J235" s="3">
        <f>E235*F235*G235*H235</f>
        <v/>
      </c>
      <c r="K235" s="3">
        <f>E235*F235*G235*I235</f>
        <v/>
      </c>
    </row>
    <row r="236">
      <c r="A236" s="2" t="inlineStr">
        <is>
          <t>攻击</t>
        </is>
      </c>
      <c r="B236" s="2" t="inlineStr">
        <is>
          <t>固定值</t>
        </is>
      </c>
      <c r="C236" s="2" t="inlineStr">
        <is>
          <t>红</t>
        </is>
      </c>
      <c r="D236" s="2" t="n">
        <v>35</v>
      </c>
      <c r="E236" s="3">
        <f>INDEX('05_副属性基础'!$C$2:$C$11,MATCH(A236,'05_副属性基础'!$A$2:$A$11,0))</f>
        <v/>
      </c>
      <c r="F236" s="3">
        <f>INDEX('02_品质等级'!$D$2:$D$6,MATCH(C236,'02_品质等级'!$A$2:$A$6,0))</f>
        <v/>
      </c>
      <c r="G236" s="3">
        <f>INDEX('05_副属性基础'!$I$2:$I$13,MATCH(D236,'05_副属性基础'!$G$2:$G$13,0))</f>
        <v/>
      </c>
      <c r="H236" s="3">
        <f>INDEX('02_品质等级'!$G$2:$G$6,MATCH(C236,'02_品质等级'!$A$2:$A$6,0))</f>
        <v/>
      </c>
      <c r="I236" s="3">
        <f>INDEX('02_品质等级'!$H$2:$H$6,MATCH(C236,'02_品质等级'!$A$2:$A$6,0))</f>
        <v/>
      </c>
      <c r="J236" s="3">
        <f>E236*F236*G236*H236</f>
        <v/>
      </c>
      <c r="K236" s="3">
        <f>E236*F236*G236*I236</f>
        <v/>
      </c>
    </row>
    <row r="237">
      <c r="A237" s="2" t="inlineStr">
        <is>
          <t>攻击</t>
        </is>
      </c>
      <c r="B237" s="2" t="inlineStr">
        <is>
          <t>固定值</t>
        </is>
      </c>
      <c r="C237" s="2" t="inlineStr">
        <is>
          <t>红</t>
        </is>
      </c>
      <c r="D237" s="2" t="n">
        <v>40</v>
      </c>
      <c r="E237" s="3">
        <f>INDEX('05_副属性基础'!$C$2:$C$11,MATCH(A237,'05_副属性基础'!$A$2:$A$11,0))</f>
        <v/>
      </c>
      <c r="F237" s="3">
        <f>INDEX('02_品质等级'!$D$2:$D$6,MATCH(C237,'02_品质等级'!$A$2:$A$6,0))</f>
        <v/>
      </c>
      <c r="G237" s="3">
        <f>INDEX('05_副属性基础'!$I$2:$I$13,MATCH(D237,'05_副属性基础'!$G$2:$G$13,0))</f>
        <v/>
      </c>
      <c r="H237" s="3">
        <f>INDEX('02_品质等级'!$G$2:$G$6,MATCH(C237,'02_品质等级'!$A$2:$A$6,0))</f>
        <v/>
      </c>
      <c r="I237" s="3">
        <f>INDEX('02_品质等级'!$H$2:$H$6,MATCH(C237,'02_品质等级'!$A$2:$A$6,0))</f>
        <v/>
      </c>
      <c r="J237" s="3">
        <f>E237*F237*G237*H237</f>
        <v/>
      </c>
      <c r="K237" s="3">
        <f>E237*F237*G237*I237</f>
        <v/>
      </c>
    </row>
    <row r="238">
      <c r="A238" s="2" t="inlineStr">
        <is>
          <t>攻击</t>
        </is>
      </c>
      <c r="B238" s="2" t="inlineStr">
        <is>
          <t>固定值</t>
        </is>
      </c>
      <c r="C238" s="2" t="inlineStr">
        <is>
          <t>红</t>
        </is>
      </c>
      <c r="D238" s="2" t="n">
        <v>45</v>
      </c>
      <c r="E238" s="3">
        <f>INDEX('05_副属性基础'!$C$2:$C$11,MATCH(A238,'05_副属性基础'!$A$2:$A$11,0))</f>
        <v/>
      </c>
      <c r="F238" s="3">
        <f>INDEX('02_品质等级'!$D$2:$D$6,MATCH(C238,'02_品质等级'!$A$2:$A$6,0))</f>
        <v/>
      </c>
      <c r="G238" s="3">
        <f>INDEX('05_副属性基础'!$I$2:$I$13,MATCH(D238,'05_副属性基础'!$G$2:$G$13,0))</f>
        <v/>
      </c>
      <c r="H238" s="3">
        <f>INDEX('02_品质等级'!$G$2:$G$6,MATCH(C238,'02_品质等级'!$A$2:$A$6,0))</f>
        <v/>
      </c>
      <c r="I238" s="3">
        <f>INDEX('02_品质等级'!$H$2:$H$6,MATCH(C238,'02_品质等级'!$A$2:$A$6,0))</f>
        <v/>
      </c>
      <c r="J238" s="3">
        <f>E238*F238*G238*H238</f>
        <v/>
      </c>
      <c r="K238" s="3">
        <f>E238*F238*G238*I238</f>
        <v/>
      </c>
    </row>
    <row r="239">
      <c r="A239" s="2" t="inlineStr">
        <is>
          <t>攻击</t>
        </is>
      </c>
      <c r="B239" s="2" t="inlineStr">
        <is>
          <t>固定值</t>
        </is>
      </c>
      <c r="C239" s="2" t="inlineStr">
        <is>
          <t>红</t>
        </is>
      </c>
      <c r="D239" s="2" t="n">
        <v>50</v>
      </c>
      <c r="E239" s="3">
        <f>INDEX('05_副属性基础'!$C$2:$C$11,MATCH(A239,'05_副属性基础'!$A$2:$A$11,0))</f>
        <v/>
      </c>
      <c r="F239" s="3">
        <f>INDEX('02_品质等级'!$D$2:$D$6,MATCH(C239,'02_品质等级'!$A$2:$A$6,0))</f>
        <v/>
      </c>
      <c r="G239" s="3">
        <f>INDEX('05_副属性基础'!$I$2:$I$13,MATCH(D239,'05_副属性基础'!$G$2:$G$13,0))</f>
        <v/>
      </c>
      <c r="H239" s="3">
        <f>INDEX('02_品质等级'!$G$2:$G$6,MATCH(C239,'02_品质等级'!$A$2:$A$6,0))</f>
        <v/>
      </c>
      <c r="I239" s="3">
        <f>INDEX('02_品质等级'!$H$2:$H$6,MATCH(C239,'02_品质等级'!$A$2:$A$6,0))</f>
        <v/>
      </c>
      <c r="J239" s="3">
        <f>E239*F239*G239*H239</f>
        <v/>
      </c>
      <c r="K239" s="3">
        <f>E239*F239*G239*I239</f>
        <v/>
      </c>
    </row>
    <row r="240">
      <c r="A240" s="2" t="inlineStr">
        <is>
          <t>攻击</t>
        </is>
      </c>
      <c r="B240" s="2" t="inlineStr">
        <is>
          <t>固定值</t>
        </is>
      </c>
      <c r="C240" s="2" t="inlineStr">
        <is>
          <t>红</t>
        </is>
      </c>
      <c r="D240" s="2" t="n">
        <v>55</v>
      </c>
      <c r="E240" s="3">
        <f>INDEX('05_副属性基础'!$C$2:$C$11,MATCH(A240,'05_副属性基础'!$A$2:$A$11,0))</f>
        <v/>
      </c>
      <c r="F240" s="3">
        <f>INDEX('02_品质等级'!$D$2:$D$6,MATCH(C240,'02_品质等级'!$A$2:$A$6,0))</f>
        <v/>
      </c>
      <c r="G240" s="3">
        <f>INDEX('05_副属性基础'!$I$2:$I$13,MATCH(D240,'05_副属性基础'!$G$2:$G$13,0))</f>
        <v/>
      </c>
      <c r="H240" s="3">
        <f>INDEX('02_品质等级'!$G$2:$G$6,MATCH(C240,'02_品质等级'!$A$2:$A$6,0))</f>
        <v/>
      </c>
      <c r="I240" s="3">
        <f>INDEX('02_品质等级'!$H$2:$H$6,MATCH(C240,'02_品质等级'!$A$2:$A$6,0))</f>
        <v/>
      </c>
      <c r="J240" s="3">
        <f>E240*F240*G240*H240</f>
        <v/>
      </c>
      <c r="K240" s="3">
        <f>E240*F240*G240*I240</f>
        <v/>
      </c>
    </row>
    <row r="241">
      <c r="A241" s="2" t="inlineStr">
        <is>
          <t>攻击</t>
        </is>
      </c>
      <c r="B241" s="2" t="inlineStr">
        <is>
          <t>固定值</t>
        </is>
      </c>
      <c r="C241" s="2" t="inlineStr">
        <is>
          <t>红</t>
        </is>
      </c>
      <c r="D241" s="2" t="n">
        <v>60</v>
      </c>
      <c r="E241" s="3">
        <f>INDEX('05_副属性基础'!$C$2:$C$11,MATCH(A241,'05_副属性基础'!$A$2:$A$11,0))</f>
        <v/>
      </c>
      <c r="F241" s="3">
        <f>INDEX('02_品质等级'!$D$2:$D$6,MATCH(C241,'02_品质等级'!$A$2:$A$6,0))</f>
        <v/>
      </c>
      <c r="G241" s="3">
        <f>INDEX('05_副属性基础'!$I$2:$I$13,MATCH(D241,'05_副属性基础'!$G$2:$G$13,0))</f>
        <v/>
      </c>
      <c r="H241" s="3">
        <f>INDEX('02_品质等级'!$G$2:$G$6,MATCH(C241,'02_品质等级'!$A$2:$A$6,0))</f>
        <v/>
      </c>
      <c r="I241" s="3">
        <f>INDEX('02_品质等级'!$H$2:$H$6,MATCH(C241,'02_品质等级'!$A$2:$A$6,0))</f>
        <v/>
      </c>
      <c r="J241" s="3">
        <f>E241*F241*G241*H241</f>
        <v/>
      </c>
      <c r="K241" s="3">
        <f>E241*F241*G241*I241</f>
        <v/>
      </c>
    </row>
    <row r="242">
      <c r="A242" s="2" t="inlineStr">
        <is>
          <t>防御</t>
        </is>
      </c>
      <c r="B242" s="2" t="inlineStr">
        <is>
          <t>固定值</t>
        </is>
      </c>
      <c r="C242" s="2" t="inlineStr">
        <is>
          <t>绿</t>
        </is>
      </c>
      <c r="D242" s="2" t="n">
        <v>5</v>
      </c>
      <c r="E242" s="3">
        <f>INDEX('05_副属性基础'!$C$2:$C$11,MATCH(A242,'05_副属性基础'!$A$2:$A$11,0))</f>
        <v/>
      </c>
      <c r="F242" s="3">
        <f>INDEX('02_品质等级'!$D$2:$D$6,MATCH(C242,'02_品质等级'!$A$2:$A$6,0))</f>
        <v/>
      </c>
      <c r="G242" s="3">
        <f>INDEX('05_副属性基础'!$I$2:$I$13,MATCH(D242,'05_副属性基础'!$G$2:$G$13,0))</f>
        <v/>
      </c>
      <c r="H242" s="3">
        <f>INDEX('02_品质等级'!$G$2:$G$6,MATCH(C242,'02_品质等级'!$A$2:$A$6,0))</f>
        <v/>
      </c>
      <c r="I242" s="3">
        <f>INDEX('02_品质等级'!$H$2:$H$6,MATCH(C242,'02_品质等级'!$A$2:$A$6,0))</f>
        <v/>
      </c>
      <c r="J242" s="3">
        <f>E242*F242*G242*H242</f>
        <v/>
      </c>
      <c r="K242" s="3">
        <f>E242*F242*G242*I242</f>
        <v/>
      </c>
    </row>
    <row r="243">
      <c r="A243" s="2" t="inlineStr">
        <is>
          <t>防御</t>
        </is>
      </c>
      <c r="B243" s="2" t="inlineStr">
        <is>
          <t>固定值</t>
        </is>
      </c>
      <c r="C243" s="2" t="inlineStr">
        <is>
          <t>绿</t>
        </is>
      </c>
      <c r="D243" s="2" t="n">
        <v>10</v>
      </c>
      <c r="E243" s="3">
        <f>INDEX('05_副属性基础'!$C$2:$C$11,MATCH(A243,'05_副属性基础'!$A$2:$A$11,0))</f>
        <v/>
      </c>
      <c r="F243" s="3">
        <f>INDEX('02_品质等级'!$D$2:$D$6,MATCH(C243,'02_品质等级'!$A$2:$A$6,0))</f>
        <v/>
      </c>
      <c r="G243" s="3">
        <f>INDEX('05_副属性基础'!$I$2:$I$13,MATCH(D243,'05_副属性基础'!$G$2:$G$13,0))</f>
        <v/>
      </c>
      <c r="H243" s="3">
        <f>INDEX('02_品质等级'!$G$2:$G$6,MATCH(C243,'02_品质等级'!$A$2:$A$6,0))</f>
        <v/>
      </c>
      <c r="I243" s="3">
        <f>INDEX('02_品质等级'!$H$2:$H$6,MATCH(C243,'02_品质等级'!$A$2:$A$6,0))</f>
        <v/>
      </c>
      <c r="J243" s="3">
        <f>E243*F243*G243*H243</f>
        <v/>
      </c>
      <c r="K243" s="3">
        <f>E243*F243*G243*I243</f>
        <v/>
      </c>
    </row>
    <row r="244">
      <c r="A244" s="2" t="inlineStr">
        <is>
          <t>防御</t>
        </is>
      </c>
      <c r="B244" s="2" t="inlineStr">
        <is>
          <t>固定值</t>
        </is>
      </c>
      <c r="C244" s="2" t="inlineStr">
        <is>
          <t>绿</t>
        </is>
      </c>
      <c r="D244" s="2" t="n">
        <v>15</v>
      </c>
      <c r="E244" s="3">
        <f>INDEX('05_副属性基础'!$C$2:$C$11,MATCH(A244,'05_副属性基础'!$A$2:$A$11,0))</f>
        <v/>
      </c>
      <c r="F244" s="3">
        <f>INDEX('02_品质等级'!$D$2:$D$6,MATCH(C244,'02_品质等级'!$A$2:$A$6,0))</f>
        <v/>
      </c>
      <c r="G244" s="3">
        <f>INDEX('05_副属性基础'!$I$2:$I$13,MATCH(D244,'05_副属性基础'!$G$2:$G$13,0))</f>
        <v/>
      </c>
      <c r="H244" s="3">
        <f>INDEX('02_品质等级'!$G$2:$G$6,MATCH(C244,'02_品质等级'!$A$2:$A$6,0))</f>
        <v/>
      </c>
      <c r="I244" s="3">
        <f>INDEX('02_品质等级'!$H$2:$H$6,MATCH(C244,'02_品质等级'!$A$2:$A$6,0))</f>
        <v/>
      </c>
      <c r="J244" s="3">
        <f>E244*F244*G244*H244</f>
        <v/>
      </c>
      <c r="K244" s="3">
        <f>E244*F244*G244*I244</f>
        <v/>
      </c>
    </row>
    <row r="245">
      <c r="A245" s="2" t="inlineStr">
        <is>
          <t>防御</t>
        </is>
      </c>
      <c r="B245" s="2" t="inlineStr">
        <is>
          <t>固定值</t>
        </is>
      </c>
      <c r="C245" s="2" t="inlineStr">
        <is>
          <t>绿</t>
        </is>
      </c>
      <c r="D245" s="2" t="n">
        <v>20</v>
      </c>
      <c r="E245" s="3">
        <f>INDEX('05_副属性基础'!$C$2:$C$11,MATCH(A245,'05_副属性基础'!$A$2:$A$11,0))</f>
        <v/>
      </c>
      <c r="F245" s="3">
        <f>INDEX('02_品质等级'!$D$2:$D$6,MATCH(C245,'02_品质等级'!$A$2:$A$6,0))</f>
        <v/>
      </c>
      <c r="G245" s="3">
        <f>INDEX('05_副属性基础'!$I$2:$I$13,MATCH(D245,'05_副属性基础'!$G$2:$G$13,0))</f>
        <v/>
      </c>
      <c r="H245" s="3">
        <f>INDEX('02_品质等级'!$G$2:$G$6,MATCH(C245,'02_品质等级'!$A$2:$A$6,0))</f>
        <v/>
      </c>
      <c r="I245" s="3">
        <f>INDEX('02_品质等级'!$H$2:$H$6,MATCH(C245,'02_品质等级'!$A$2:$A$6,0))</f>
        <v/>
      </c>
      <c r="J245" s="3">
        <f>E245*F245*G245*H245</f>
        <v/>
      </c>
      <c r="K245" s="3">
        <f>E245*F245*G245*I245</f>
        <v/>
      </c>
    </row>
    <row r="246">
      <c r="A246" s="2" t="inlineStr">
        <is>
          <t>防御</t>
        </is>
      </c>
      <c r="B246" s="2" t="inlineStr">
        <is>
          <t>固定值</t>
        </is>
      </c>
      <c r="C246" s="2" t="inlineStr">
        <is>
          <t>绿</t>
        </is>
      </c>
      <c r="D246" s="2" t="n">
        <v>25</v>
      </c>
      <c r="E246" s="3">
        <f>INDEX('05_副属性基础'!$C$2:$C$11,MATCH(A246,'05_副属性基础'!$A$2:$A$11,0))</f>
        <v/>
      </c>
      <c r="F246" s="3">
        <f>INDEX('02_品质等级'!$D$2:$D$6,MATCH(C246,'02_品质等级'!$A$2:$A$6,0))</f>
        <v/>
      </c>
      <c r="G246" s="3">
        <f>INDEX('05_副属性基础'!$I$2:$I$13,MATCH(D246,'05_副属性基础'!$G$2:$G$13,0))</f>
        <v/>
      </c>
      <c r="H246" s="3">
        <f>INDEX('02_品质等级'!$G$2:$G$6,MATCH(C246,'02_品质等级'!$A$2:$A$6,0))</f>
        <v/>
      </c>
      <c r="I246" s="3">
        <f>INDEX('02_品质等级'!$H$2:$H$6,MATCH(C246,'02_品质等级'!$A$2:$A$6,0))</f>
        <v/>
      </c>
      <c r="J246" s="3">
        <f>E246*F246*G246*H246</f>
        <v/>
      </c>
      <c r="K246" s="3">
        <f>E246*F246*G246*I246</f>
        <v/>
      </c>
    </row>
    <row r="247">
      <c r="A247" s="2" t="inlineStr">
        <is>
          <t>防御</t>
        </is>
      </c>
      <c r="B247" s="2" t="inlineStr">
        <is>
          <t>固定值</t>
        </is>
      </c>
      <c r="C247" s="2" t="inlineStr">
        <is>
          <t>绿</t>
        </is>
      </c>
      <c r="D247" s="2" t="n">
        <v>30</v>
      </c>
      <c r="E247" s="3">
        <f>INDEX('05_副属性基础'!$C$2:$C$11,MATCH(A247,'05_副属性基础'!$A$2:$A$11,0))</f>
        <v/>
      </c>
      <c r="F247" s="3">
        <f>INDEX('02_品质等级'!$D$2:$D$6,MATCH(C247,'02_品质等级'!$A$2:$A$6,0))</f>
        <v/>
      </c>
      <c r="G247" s="3">
        <f>INDEX('05_副属性基础'!$I$2:$I$13,MATCH(D247,'05_副属性基础'!$G$2:$G$13,0))</f>
        <v/>
      </c>
      <c r="H247" s="3">
        <f>INDEX('02_品质等级'!$G$2:$G$6,MATCH(C247,'02_品质等级'!$A$2:$A$6,0))</f>
        <v/>
      </c>
      <c r="I247" s="3">
        <f>INDEX('02_品质等级'!$H$2:$H$6,MATCH(C247,'02_品质等级'!$A$2:$A$6,0))</f>
        <v/>
      </c>
      <c r="J247" s="3">
        <f>E247*F247*G247*H247</f>
        <v/>
      </c>
      <c r="K247" s="3">
        <f>E247*F247*G247*I247</f>
        <v/>
      </c>
    </row>
    <row r="248">
      <c r="A248" s="2" t="inlineStr">
        <is>
          <t>防御</t>
        </is>
      </c>
      <c r="B248" s="2" t="inlineStr">
        <is>
          <t>固定值</t>
        </is>
      </c>
      <c r="C248" s="2" t="inlineStr">
        <is>
          <t>绿</t>
        </is>
      </c>
      <c r="D248" s="2" t="n">
        <v>35</v>
      </c>
      <c r="E248" s="3">
        <f>INDEX('05_副属性基础'!$C$2:$C$11,MATCH(A248,'05_副属性基础'!$A$2:$A$11,0))</f>
        <v/>
      </c>
      <c r="F248" s="3">
        <f>INDEX('02_品质等级'!$D$2:$D$6,MATCH(C248,'02_品质等级'!$A$2:$A$6,0))</f>
        <v/>
      </c>
      <c r="G248" s="3">
        <f>INDEX('05_副属性基础'!$I$2:$I$13,MATCH(D248,'05_副属性基础'!$G$2:$G$13,0))</f>
        <v/>
      </c>
      <c r="H248" s="3">
        <f>INDEX('02_品质等级'!$G$2:$G$6,MATCH(C248,'02_品质等级'!$A$2:$A$6,0))</f>
        <v/>
      </c>
      <c r="I248" s="3">
        <f>INDEX('02_品质等级'!$H$2:$H$6,MATCH(C248,'02_品质等级'!$A$2:$A$6,0))</f>
        <v/>
      </c>
      <c r="J248" s="3">
        <f>E248*F248*G248*H248</f>
        <v/>
      </c>
      <c r="K248" s="3">
        <f>E248*F248*G248*I248</f>
        <v/>
      </c>
    </row>
    <row r="249">
      <c r="A249" s="2" t="inlineStr">
        <is>
          <t>防御</t>
        </is>
      </c>
      <c r="B249" s="2" t="inlineStr">
        <is>
          <t>固定值</t>
        </is>
      </c>
      <c r="C249" s="2" t="inlineStr">
        <is>
          <t>绿</t>
        </is>
      </c>
      <c r="D249" s="2" t="n">
        <v>40</v>
      </c>
      <c r="E249" s="3">
        <f>INDEX('05_副属性基础'!$C$2:$C$11,MATCH(A249,'05_副属性基础'!$A$2:$A$11,0))</f>
        <v/>
      </c>
      <c r="F249" s="3">
        <f>INDEX('02_品质等级'!$D$2:$D$6,MATCH(C249,'02_品质等级'!$A$2:$A$6,0))</f>
        <v/>
      </c>
      <c r="G249" s="3">
        <f>INDEX('05_副属性基础'!$I$2:$I$13,MATCH(D249,'05_副属性基础'!$G$2:$G$13,0))</f>
        <v/>
      </c>
      <c r="H249" s="3">
        <f>INDEX('02_品质等级'!$G$2:$G$6,MATCH(C249,'02_品质等级'!$A$2:$A$6,0))</f>
        <v/>
      </c>
      <c r="I249" s="3">
        <f>INDEX('02_品质等级'!$H$2:$H$6,MATCH(C249,'02_品质等级'!$A$2:$A$6,0))</f>
        <v/>
      </c>
      <c r="J249" s="3">
        <f>E249*F249*G249*H249</f>
        <v/>
      </c>
      <c r="K249" s="3">
        <f>E249*F249*G249*I249</f>
        <v/>
      </c>
    </row>
    <row r="250">
      <c r="A250" s="2" t="inlineStr">
        <is>
          <t>防御</t>
        </is>
      </c>
      <c r="B250" s="2" t="inlineStr">
        <is>
          <t>固定值</t>
        </is>
      </c>
      <c r="C250" s="2" t="inlineStr">
        <is>
          <t>绿</t>
        </is>
      </c>
      <c r="D250" s="2" t="n">
        <v>45</v>
      </c>
      <c r="E250" s="3">
        <f>INDEX('05_副属性基础'!$C$2:$C$11,MATCH(A250,'05_副属性基础'!$A$2:$A$11,0))</f>
        <v/>
      </c>
      <c r="F250" s="3">
        <f>INDEX('02_品质等级'!$D$2:$D$6,MATCH(C250,'02_品质等级'!$A$2:$A$6,0))</f>
        <v/>
      </c>
      <c r="G250" s="3">
        <f>INDEX('05_副属性基础'!$I$2:$I$13,MATCH(D250,'05_副属性基础'!$G$2:$G$13,0))</f>
        <v/>
      </c>
      <c r="H250" s="3">
        <f>INDEX('02_品质等级'!$G$2:$G$6,MATCH(C250,'02_品质等级'!$A$2:$A$6,0))</f>
        <v/>
      </c>
      <c r="I250" s="3">
        <f>INDEX('02_品质等级'!$H$2:$H$6,MATCH(C250,'02_品质等级'!$A$2:$A$6,0))</f>
        <v/>
      </c>
      <c r="J250" s="3">
        <f>E250*F250*G250*H250</f>
        <v/>
      </c>
      <c r="K250" s="3">
        <f>E250*F250*G250*I250</f>
        <v/>
      </c>
    </row>
    <row r="251">
      <c r="A251" s="2" t="inlineStr">
        <is>
          <t>防御</t>
        </is>
      </c>
      <c r="B251" s="2" t="inlineStr">
        <is>
          <t>固定值</t>
        </is>
      </c>
      <c r="C251" s="2" t="inlineStr">
        <is>
          <t>绿</t>
        </is>
      </c>
      <c r="D251" s="2" t="n">
        <v>50</v>
      </c>
      <c r="E251" s="3">
        <f>INDEX('05_副属性基础'!$C$2:$C$11,MATCH(A251,'05_副属性基础'!$A$2:$A$11,0))</f>
        <v/>
      </c>
      <c r="F251" s="3">
        <f>INDEX('02_品质等级'!$D$2:$D$6,MATCH(C251,'02_品质等级'!$A$2:$A$6,0))</f>
        <v/>
      </c>
      <c r="G251" s="3">
        <f>INDEX('05_副属性基础'!$I$2:$I$13,MATCH(D251,'05_副属性基础'!$G$2:$G$13,0))</f>
        <v/>
      </c>
      <c r="H251" s="3">
        <f>INDEX('02_品质等级'!$G$2:$G$6,MATCH(C251,'02_品质等级'!$A$2:$A$6,0))</f>
        <v/>
      </c>
      <c r="I251" s="3">
        <f>INDEX('02_品质等级'!$H$2:$H$6,MATCH(C251,'02_品质等级'!$A$2:$A$6,0))</f>
        <v/>
      </c>
      <c r="J251" s="3">
        <f>E251*F251*G251*H251</f>
        <v/>
      </c>
      <c r="K251" s="3">
        <f>E251*F251*G251*I251</f>
        <v/>
      </c>
    </row>
    <row r="252">
      <c r="A252" s="2" t="inlineStr">
        <is>
          <t>防御</t>
        </is>
      </c>
      <c r="B252" s="2" t="inlineStr">
        <is>
          <t>固定值</t>
        </is>
      </c>
      <c r="C252" s="2" t="inlineStr">
        <is>
          <t>绿</t>
        </is>
      </c>
      <c r="D252" s="2" t="n">
        <v>55</v>
      </c>
      <c r="E252" s="3">
        <f>INDEX('05_副属性基础'!$C$2:$C$11,MATCH(A252,'05_副属性基础'!$A$2:$A$11,0))</f>
        <v/>
      </c>
      <c r="F252" s="3">
        <f>INDEX('02_品质等级'!$D$2:$D$6,MATCH(C252,'02_品质等级'!$A$2:$A$6,0))</f>
        <v/>
      </c>
      <c r="G252" s="3">
        <f>INDEX('05_副属性基础'!$I$2:$I$13,MATCH(D252,'05_副属性基础'!$G$2:$G$13,0))</f>
        <v/>
      </c>
      <c r="H252" s="3">
        <f>INDEX('02_品质等级'!$G$2:$G$6,MATCH(C252,'02_品质等级'!$A$2:$A$6,0))</f>
        <v/>
      </c>
      <c r="I252" s="3">
        <f>INDEX('02_品质等级'!$H$2:$H$6,MATCH(C252,'02_品质等级'!$A$2:$A$6,0))</f>
        <v/>
      </c>
      <c r="J252" s="3">
        <f>E252*F252*G252*H252</f>
        <v/>
      </c>
      <c r="K252" s="3">
        <f>E252*F252*G252*I252</f>
        <v/>
      </c>
    </row>
    <row r="253">
      <c r="A253" s="2" t="inlineStr">
        <is>
          <t>防御</t>
        </is>
      </c>
      <c r="B253" s="2" t="inlineStr">
        <is>
          <t>固定值</t>
        </is>
      </c>
      <c r="C253" s="2" t="inlineStr">
        <is>
          <t>绿</t>
        </is>
      </c>
      <c r="D253" s="2" t="n">
        <v>60</v>
      </c>
      <c r="E253" s="3">
        <f>INDEX('05_副属性基础'!$C$2:$C$11,MATCH(A253,'05_副属性基础'!$A$2:$A$11,0))</f>
        <v/>
      </c>
      <c r="F253" s="3">
        <f>INDEX('02_品质等级'!$D$2:$D$6,MATCH(C253,'02_品质等级'!$A$2:$A$6,0))</f>
        <v/>
      </c>
      <c r="G253" s="3">
        <f>INDEX('05_副属性基础'!$I$2:$I$13,MATCH(D253,'05_副属性基础'!$G$2:$G$13,0))</f>
        <v/>
      </c>
      <c r="H253" s="3">
        <f>INDEX('02_品质等级'!$G$2:$G$6,MATCH(C253,'02_品质等级'!$A$2:$A$6,0))</f>
        <v/>
      </c>
      <c r="I253" s="3">
        <f>INDEX('02_品质等级'!$H$2:$H$6,MATCH(C253,'02_品质等级'!$A$2:$A$6,0))</f>
        <v/>
      </c>
      <c r="J253" s="3">
        <f>E253*F253*G253*H253</f>
        <v/>
      </c>
      <c r="K253" s="3">
        <f>E253*F253*G253*I253</f>
        <v/>
      </c>
    </row>
    <row r="254">
      <c r="A254" s="2" t="inlineStr">
        <is>
          <t>防御</t>
        </is>
      </c>
      <c r="B254" s="2" t="inlineStr">
        <is>
          <t>固定值</t>
        </is>
      </c>
      <c r="C254" s="2" t="inlineStr">
        <is>
          <t>蓝</t>
        </is>
      </c>
      <c r="D254" s="2" t="n">
        <v>5</v>
      </c>
      <c r="E254" s="3">
        <f>INDEX('05_副属性基础'!$C$2:$C$11,MATCH(A254,'05_副属性基础'!$A$2:$A$11,0))</f>
        <v/>
      </c>
      <c r="F254" s="3">
        <f>INDEX('02_品质等级'!$D$2:$D$6,MATCH(C254,'02_品质等级'!$A$2:$A$6,0))</f>
        <v/>
      </c>
      <c r="G254" s="3">
        <f>INDEX('05_副属性基础'!$I$2:$I$13,MATCH(D254,'05_副属性基础'!$G$2:$G$13,0))</f>
        <v/>
      </c>
      <c r="H254" s="3">
        <f>INDEX('02_品质等级'!$G$2:$G$6,MATCH(C254,'02_品质等级'!$A$2:$A$6,0))</f>
        <v/>
      </c>
      <c r="I254" s="3">
        <f>INDEX('02_品质等级'!$H$2:$H$6,MATCH(C254,'02_品质等级'!$A$2:$A$6,0))</f>
        <v/>
      </c>
      <c r="J254" s="3">
        <f>E254*F254*G254*H254</f>
        <v/>
      </c>
      <c r="K254" s="3">
        <f>E254*F254*G254*I254</f>
        <v/>
      </c>
    </row>
    <row r="255">
      <c r="A255" s="2" t="inlineStr">
        <is>
          <t>防御</t>
        </is>
      </c>
      <c r="B255" s="2" t="inlineStr">
        <is>
          <t>固定值</t>
        </is>
      </c>
      <c r="C255" s="2" t="inlineStr">
        <is>
          <t>蓝</t>
        </is>
      </c>
      <c r="D255" s="2" t="n">
        <v>10</v>
      </c>
      <c r="E255" s="3">
        <f>INDEX('05_副属性基础'!$C$2:$C$11,MATCH(A255,'05_副属性基础'!$A$2:$A$11,0))</f>
        <v/>
      </c>
      <c r="F255" s="3">
        <f>INDEX('02_品质等级'!$D$2:$D$6,MATCH(C255,'02_品质等级'!$A$2:$A$6,0))</f>
        <v/>
      </c>
      <c r="G255" s="3">
        <f>INDEX('05_副属性基础'!$I$2:$I$13,MATCH(D255,'05_副属性基础'!$G$2:$G$13,0))</f>
        <v/>
      </c>
      <c r="H255" s="3">
        <f>INDEX('02_品质等级'!$G$2:$G$6,MATCH(C255,'02_品质等级'!$A$2:$A$6,0))</f>
        <v/>
      </c>
      <c r="I255" s="3">
        <f>INDEX('02_品质等级'!$H$2:$H$6,MATCH(C255,'02_品质等级'!$A$2:$A$6,0))</f>
        <v/>
      </c>
      <c r="J255" s="3">
        <f>E255*F255*G255*H255</f>
        <v/>
      </c>
      <c r="K255" s="3">
        <f>E255*F255*G255*I255</f>
        <v/>
      </c>
    </row>
    <row r="256">
      <c r="A256" s="2" t="inlineStr">
        <is>
          <t>防御</t>
        </is>
      </c>
      <c r="B256" s="2" t="inlineStr">
        <is>
          <t>固定值</t>
        </is>
      </c>
      <c r="C256" s="2" t="inlineStr">
        <is>
          <t>蓝</t>
        </is>
      </c>
      <c r="D256" s="2" t="n">
        <v>15</v>
      </c>
      <c r="E256" s="3">
        <f>INDEX('05_副属性基础'!$C$2:$C$11,MATCH(A256,'05_副属性基础'!$A$2:$A$11,0))</f>
        <v/>
      </c>
      <c r="F256" s="3">
        <f>INDEX('02_品质等级'!$D$2:$D$6,MATCH(C256,'02_品质等级'!$A$2:$A$6,0))</f>
        <v/>
      </c>
      <c r="G256" s="3">
        <f>INDEX('05_副属性基础'!$I$2:$I$13,MATCH(D256,'05_副属性基础'!$G$2:$G$13,0))</f>
        <v/>
      </c>
      <c r="H256" s="3">
        <f>INDEX('02_品质等级'!$G$2:$G$6,MATCH(C256,'02_品质等级'!$A$2:$A$6,0))</f>
        <v/>
      </c>
      <c r="I256" s="3">
        <f>INDEX('02_品质等级'!$H$2:$H$6,MATCH(C256,'02_品质等级'!$A$2:$A$6,0))</f>
        <v/>
      </c>
      <c r="J256" s="3">
        <f>E256*F256*G256*H256</f>
        <v/>
      </c>
      <c r="K256" s="3">
        <f>E256*F256*G256*I256</f>
        <v/>
      </c>
    </row>
    <row r="257">
      <c r="A257" s="2" t="inlineStr">
        <is>
          <t>防御</t>
        </is>
      </c>
      <c r="B257" s="2" t="inlineStr">
        <is>
          <t>固定值</t>
        </is>
      </c>
      <c r="C257" s="2" t="inlineStr">
        <is>
          <t>蓝</t>
        </is>
      </c>
      <c r="D257" s="2" t="n">
        <v>20</v>
      </c>
      <c r="E257" s="3">
        <f>INDEX('05_副属性基础'!$C$2:$C$11,MATCH(A257,'05_副属性基础'!$A$2:$A$11,0))</f>
        <v/>
      </c>
      <c r="F257" s="3">
        <f>INDEX('02_品质等级'!$D$2:$D$6,MATCH(C257,'02_品质等级'!$A$2:$A$6,0))</f>
        <v/>
      </c>
      <c r="G257" s="3">
        <f>INDEX('05_副属性基础'!$I$2:$I$13,MATCH(D257,'05_副属性基础'!$G$2:$G$13,0))</f>
        <v/>
      </c>
      <c r="H257" s="3">
        <f>INDEX('02_品质等级'!$G$2:$G$6,MATCH(C257,'02_品质等级'!$A$2:$A$6,0))</f>
        <v/>
      </c>
      <c r="I257" s="3">
        <f>INDEX('02_品质等级'!$H$2:$H$6,MATCH(C257,'02_品质等级'!$A$2:$A$6,0))</f>
        <v/>
      </c>
      <c r="J257" s="3">
        <f>E257*F257*G257*H257</f>
        <v/>
      </c>
      <c r="K257" s="3">
        <f>E257*F257*G257*I257</f>
        <v/>
      </c>
    </row>
    <row r="258">
      <c r="A258" s="2" t="inlineStr">
        <is>
          <t>防御</t>
        </is>
      </c>
      <c r="B258" s="2" t="inlineStr">
        <is>
          <t>固定值</t>
        </is>
      </c>
      <c r="C258" s="2" t="inlineStr">
        <is>
          <t>蓝</t>
        </is>
      </c>
      <c r="D258" s="2" t="n">
        <v>25</v>
      </c>
      <c r="E258" s="3">
        <f>INDEX('05_副属性基础'!$C$2:$C$11,MATCH(A258,'05_副属性基础'!$A$2:$A$11,0))</f>
        <v/>
      </c>
      <c r="F258" s="3">
        <f>INDEX('02_品质等级'!$D$2:$D$6,MATCH(C258,'02_品质等级'!$A$2:$A$6,0))</f>
        <v/>
      </c>
      <c r="G258" s="3">
        <f>INDEX('05_副属性基础'!$I$2:$I$13,MATCH(D258,'05_副属性基础'!$G$2:$G$13,0))</f>
        <v/>
      </c>
      <c r="H258" s="3">
        <f>INDEX('02_品质等级'!$G$2:$G$6,MATCH(C258,'02_品质等级'!$A$2:$A$6,0))</f>
        <v/>
      </c>
      <c r="I258" s="3">
        <f>INDEX('02_品质等级'!$H$2:$H$6,MATCH(C258,'02_品质等级'!$A$2:$A$6,0))</f>
        <v/>
      </c>
      <c r="J258" s="3">
        <f>E258*F258*G258*H258</f>
        <v/>
      </c>
      <c r="K258" s="3">
        <f>E258*F258*G258*I258</f>
        <v/>
      </c>
    </row>
    <row r="259">
      <c r="A259" s="2" t="inlineStr">
        <is>
          <t>防御</t>
        </is>
      </c>
      <c r="B259" s="2" t="inlineStr">
        <is>
          <t>固定值</t>
        </is>
      </c>
      <c r="C259" s="2" t="inlineStr">
        <is>
          <t>蓝</t>
        </is>
      </c>
      <c r="D259" s="2" t="n">
        <v>30</v>
      </c>
      <c r="E259" s="3">
        <f>INDEX('05_副属性基础'!$C$2:$C$11,MATCH(A259,'05_副属性基础'!$A$2:$A$11,0))</f>
        <v/>
      </c>
      <c r="F259" s="3">
        <f>INDEX('02_品质等级'!$D$2:$D$6,MATCH(C259,'02_品质等级'!$A$2:$A$6,0))</f>
        <v/>
      </c>
      <c r="G259" s="3">
        <f>INDEX('05_副属性基础'!$I$2:$I$13,MATCH(D259,'05_副属性基础'!$G$2:$G$13,0))</f>
        <v/>
      </c>
      <c r="H259" s="3">
        <f>INDEX('02_品质等级'!$G$2:$G$6,MATCH(C259,'02_品质等级'!$A$2:$A$6,0))</f>
        <v/>
      </c>
      <c r="I259" s="3">
        <f>INDEX('02_品质等级'!$H$2:$H$6,MATCH(C259,'02_品质等级'!$A$2:$A$6,0))</f>
        <v/>
      </c>
      <c r="J259" s="3">
        <f>E259*F259*G259*H259</f>
        <v/>
      </c>
      <c r="K259" s="3">
        <f>E259*F259*G259*I259</f>
        <v/>
      </c>
    </row>
    <row r="260">
      <c r="A260" s="2" t="inlineStr">
        <is>
          <t>防御</t>
        </is>
      </c>
      <c r="B260" s="2" t="inlineStr">
        <is>
          <t>固定值</t>
        </is>
      </c>
      <c r="C260" s="2" t="inlineStr">
        <is>
          <t>蓝</t>
        </is>
      </c>
      <c r="D260" s="2" t="n">
        <v>35</v>
      </c>
      <c r="E260" s="3">
        <f>INDEX('05_副属性基础'!$C$2:$C$11,MATCH(A260,'05_副属性基础'!$A$2:$A$11,0))</f>
        <v/>
      </c>
      <c r="F260" s="3">
        <f>INDEX('02_品质等级'!$D$2:$D$6,MATCH(C260,'02_品质等级'!$A$2:$A$6,0))</f>
        <v/>
      </c>
      <c r="G260" s="3">
        <f>INDEX('05_副属性基础'!$I$2:$I$13,MATCH(D260,'05_副属性基础'!$G$2:$G$13,0))</f>
        <v/>
      </c>
      <c r="H260" s="3">
        <f>INDEX('02_品质等级'!$G$2:$G$6,MATCH(C260,'02_品质等级'!$A$2:$A$6,0))</f>
        <v/>
      </c>
      <c r="I260" s="3">
        <f>INDEX('02_品质等级'!$H$2:$H$6,MATCH(C260,'02_品质等级'!$A$2:$A$6,0))</f>
        <v/>
      </c>
      <c r="J260" s="3">
        <f>E260*F260*G260*H260</f>
        <v/>
      </c>
      <c r="K260" s="3">
        <f>E260*F260*G260*I260</f>
        <v/>
      </c>
    </row>
    <row r="261">
      <c r="A261" s="2" t="inlineStr">
        <is>
          <t>防御</t>
        </is>
      </c>
      <c r="B261" s="2" t="inlineStr">
        <is>
          <t>固定值</t>
        </is>
      </c>
      <c r="C261" s="2" t="inlineStr">
        <is>
          <t>蓝</t>
        </is>
      </c>
      <c r="D261" s="2" t="n">
        <v>40</v>
      </c>
      <c r="E261" s="3">
        <f>INDEX('05_副属性基础'!$C$2:$C$11,MATCH(A261,'05_副属性基础'!$A$2:$A$11,0))</f>
        <v/>
      </c>
      <c r="F261" s="3">
        <f>INDEX('02_品质等级'!$D$2:$D$6,MATCH(C261,'02_品质等级'!$A$2:$A$6,0))</f>
        <v/>
      </c>
      <c r="G261" s="3">
        <f>INDEX('05_副属性基础'!$I$2:$I$13,MATCH(D261,'05_副属性基础'!$G$2:$G$13,0))</f>
        <v/>
      </c>
      <c r="H261" s="3">
        <f>INDEX('02_品质等级'!$G$2:$G$6,MATCH(C261,'02_品质等级'!$A$2:$A$6,0))</f>
        <v/>
      </c>
      <c r="I261" s="3">
        <f>INDEX('02_品质等级'!$H$2:$H$6,MATCH(C261,'02_品质等级'!$A$2:$A$6,0))</f>
        <v/>
      </c>
      <c r="J261" s="3">
        <f>E261*F261*G261*H261</f>
        <v/>
      </c>
      <c r="K261" s="3">
        <f>E261*F261*G261*I261</f>
        <v/>
      </c>
    </row>
    <row r="262">
      <c r="A262" s="2" t="inlineStr">
        <is>
          <t>防御</t>
        </is>
      </c>
      <c r="B262" s="2" t="inlineStr">
        <is>
          <t>固定值</t>
        </is>
      </c>
      <c r="C262" s="2" t="inlineStr">
        <is>
          <t>蓝</t>
        </is>
      </c>
      <c r="D262" s="2" t="n">
        <v>45</v>
      </c>
      <c r="E262" s="3">
        <f>INDEX('05_副属性基础'!$C$2:$C$11,MATCH(A262,'05_副属性基础'!$A$2:$A$11,0))</f>
        <v/>
      </c>
      <c r="F262" s="3">
        <f>INDEX('02_品质等级'!$D$2:$D$6,MATCH(C262,'02_品质等级'!$A$2:$A$6,0))</f>
        <v/>
      </c>
      <c r="G262" s="3">
        <f>INDEX('05_副属性基础'!$I$2:$I$13,MATCH(D262,'05_副属性基础'!$G$2:$G$13,0))</f>
        <v/>
      </c>
      <c r="H262" s="3">
        <f>INDEX('02_品质等级'!$G$2:$G$6,MATCH(C262,'02_品质等级'!$A$2:$A$6,0))</f>
        <v/>
      </c>
      <c r="I262" s="3">
        <f>INDEX('02_品质等级'!$H$2:$H$6,MATCH(C262,'02_品质等级'!$A$2:$A$6,0))</f>
        <v/>
      </c>
      <c r="J262" s="3">
        <f>E262*F262*G262*H262</f>
        <v/>
      </c>
      <c r="K262" s="3">
        <f>E262*F262*G262*I262</f>
        <v/>
      </c>
    </row>
    <row r="263">
      <c r="A263" s="2" t="inlineStr">
        <is>
          <t>防御</t>
        </is>
      </c>
      <c r="B263" s="2" t="inlineStr">
        <is>
          <t>固定值</t>
        </is>
      </c>
      <c r="C263" s="2" t="inlineStr">
        <is>
          <t>蓝</t>
        </is>
      </c>
      <c r="D263" s="2" t="n">
        <v>50</v>
      </c>
      <c r="E263" s="3">
        <f>INDEX('05_副属性基础'!$C$2:$C$11,MATCH(A263,'05_副属性基础'!$A$2:$A$11,0))</f>
        <v/>
      </c>
      <c r="F263" s="3">
        <f>INDEX('02_品质等级'!$D$2:$D$6,MATCH(C263,'02_品质等级'!$A$2:$A$6,0))</f>
        <v/>
      </c>
      <c r="G263" s="3">
        <f>INDEX('05_副属性基础'!$I$2:$I$13,MATCH(D263,'05_副属性基础'!$G$2:$G$13,0))</f>
        <v/>
      </c>
      <c r="H263" s="3">
        <f>INDEX('02_品质等级'!$G$2:$G$6,MATCH(C263,'02_品质等级'!$A$2:$A$6,0))</f>
        <v/>
      </c>
      <c r="I263" s="3">
        <f>INDEX('02_品质等级'!$H$2:$H$6,MATCH(C263,'02_品质等级'!$A$2:$A$6,0))</f>
        <v/>
      </c>
      <c r="J263" s="3">
        <f>E263*F263*G263*H263</f>
        <v/>
      </c>
      <c r="K263" s="3">
        <f>E263*F263*G263*I263</f>
        <v/>
      </c>
    </row>
    <row r="264">
      <c r="A264" s="2" t="inlineStr">
        <is>
          <t>防御</t>
        </is>
      </c>
      <c r="B264" s="2" t="inlineStr">
        <is>
          <t>固定值</t>
        </is>
      </c>
      <c r="C264" s="2" t="inlineStr">
        <is>
          <t>蓝</t>
        </is>
      </c>
      <c r="D264" s="2" t="n">
        <v>55</v>
      </c>
      <c r="E264" s="3">
        <f>INDEX('05_副属性基础'!$C$2:$C$11,MATCH(A264,'05_副属性基础'!$A$2:$A$11,0))</f>
        <v/>
      </c>
      <c r="F264" s="3">
        <f>INDEX('02_品质等级'!$D$2:$D$6,MATCH(C264,'02_品质等级'!$A$2:$A$6,0))</f>
        <v/>
      </c>
      <c r="G264" s="3">
        <f>INDEX('05_副属性基础'!$I$2:$I$13,MATCH(D264,'05_副属性基础'!$G$2:$G$13,0))</f>
        <v/>
      </c>
      <c r="H264" s="3">
        <f>INDEX('02_品质等级'!$G$2:$G$6,MATCH(C264,'02_品质等级'!$A$2:$A$6,0))</f>
        <v/>
      </c>
      <c r="I264" s="3">
        <f>INDEX('02_品质等级'!$H$2:$H$6,MATCH(C264,'02_品质等级'!$A$2:$A$6,0))</f>
        <v/>
      </c>
      <c r="J264" s="3">
        <f>E264*F264*G264*H264</f>
        <v/>
      </c>
      <c r="K264" s="3">
        <f>E264*F264*G264*I264</f>
        <v/>
      </c>
    </row>
    <row r="265">
      <c r="A265" s="2" t="inlineStr">
        <is>
          <t>防御</t>
        </is>
      </c>
      <c r="B265" s="2" t="inlineStr">
        <is>
          <t>固定值</t>
        </is>
      </c>
      <c r="C265" s="2" t="inlineStr">
        <is>
          <t>蓝</t>
        </is>
      </c>
      <c r="D265" s="2" t="n">
        <v>60</v>
      </c>
      <c r="E265" s="3">
        <f>INDEX('05_副属性基础'!$C$2:$C$11,MATCH(A265,'05_副属性基础'!$A$2:$A$11,0))</f>
        <v/>
      </c>
      <c r="F265" s="3">
        <f>INDEX('02_品质等级'!$D$2:$D$6,MATCH(C265,'02_品质等级'!$A$2:$A$6,0))</f>
        <v/>
      </c>
      <c r="G265" s="3">
        <f>INDEX('05_副属性基础'!$I$2:$I$13,MATCH(D265,'05_副属性基础'!$G$2:$G$13,0))</f>
        <v/>
      </c>
      <c r="H265" s="3">
        <f>INDEX('02_品质等级'!$G$2:$G$6,MATCH(C265,'02_品质等级'!$A$2:$A$6,0))</f>
        <v/>
      </c>
      <c r="I265" s="3">
        <f>INDEX('02_品质等级'!$H$2:$H$6,MATCH(C265,'02_品质等级'!$A$2:$A$6,0))</f>
        <v/>
      </c>
      <c r="J265" s="3">
        <f>E265*F265*G265*H265</f>
        <v/>
      </c>
      <c r="K265" s="3">
        <f>E265*F265*G265*I265</f>
        <v/>
      </c>
    </row>
    <row r="266">
      <c r="A266" s="2" t="inlineStr">
        <is>
          <t>防御</t>
        </is>
      </c>
      <c r="B266" s="2" t="inlineStr">
        <is>
          <t>固定值</t>
        </is>
      </c>
      <c r="C266" s="2" t="inlineStr">
        <is>
          <t>紫</t>
        </is>
      </c>
      <c r="D266" s="2" t="n">
        <v>5</v>
      </c>
      <c r="E266" s="3">
        <f>INDEX('05_副属性基础'!$C$2:$C$11,MATCH(A266,'05_副属性基础'!$A$2:$A$11,0))</f>
        <v/>
      </c>
      <c r="F266" s="3">
        <f>INDEX('02_品质等级'!$D$2:$D$6,MATCH(C266,'02_品质等级'!$A$2:$A$6,0))</f>
        <v/>
      </c>
      <c r="G266" s="3">
        <f>INDEX('05_副属性基础'!$I$2:$I$13,MATCH(D266,'05_副属性基础'!$G$2:$G$13,0))</f>
        <v/>
      </c>
      <c r="H266" s="3">
        <f>INDEX('02_品质等级'!$G$2:$G$6,MATCH(C266,'02_品质等级'!$A$2:$A$6,0))</f>
        <v/>
      </c>
      <c r="I266" s="3">
        <f>INDEX('02_品质等级'!$H$2:$H$6,MATCH(C266,'02_品质等级'!$A$2:$A$6,0))</f>
        <v/>
      </c>
      <c r="J266" s="3">
        <f>E266*F266*G266*H266</f>
        <v/>
      </c>
      <c r="K266" s="3">
        <f>E266*F266*G266*I266</f>
        <v/>
      </c>
    </row>
    <row r="267">
      <c r="A267" s="2" t="inlineStr">
        <is>
          <t>防御</t>
        </is>
      </c>
      <c r="B267" s="2" t="inlineStr">
        <is>
          <t>固定值</t>
        </is>
      </c>
      <c r="C267" s="2" t="inlineStr">
        <is>
          <t>紫</t>
        </is>
      </c>
      <c r="D267" s="2" t="n">
        <v>10</v>
      </c>
      <c r="E267" s="3">
        <f>INDEX('05_副属性基础'!$C$2:$C$11,MATCH(A267,'05_副属性基础'!$A$2:$A$11,0))</f>
        <v/>
      </c>
      <c r="F267" s="3">
        <f>INDEX('02_品质等级'!$D$2:$D$6,MATCH(C267,'02_品质等级'!$A$2:$A$6,0))</f>
        <v/>
      </c>
      <c r="G267" s="3">
        <f>INDEX('05_副属性基础'!$I$2:$I$13,MATCH(D267,'05_副属性基础'!$G$2:$G$13,0))</f>
        <v/>
      </c>
      <c r="H267" s="3">
        <f>INDEX('02_品质等级'!$G$2:$G$6,MATCH(C267,'02_品质等级'!$A$2:$A$6,0))</f>
        <v/>
      </c>
      <c r="I267" s="3">
        <f>INDEX('02_品质等级'!$H$2:$H$6,MATCH(C267,'02_品质等级'!$A$2:$A$6,0))</f>
        <v/>
      </c>
      <c r="J267" s="3">
        <f>E267*F267*G267*H267</f>
        <v/>
      </c>
      <c r="K267" s="3">
        <f>E267*F267*G267*I267</f>
        <v/>
      </c>
    </row>
    <row r="268">
      <c r="A268" s="2" t="inlineStr">
        <is>
          <t>防御</t>
        </is>
      </c>
      <c r="B268" s="2" t="inlineStr">
        <is>
          <t>固定值</t>
        </is>
      </c>
      <c r="C268" s="2" t="inlineStr">
        <is>
          <t>紫</t>
        </is>
      </c>
      <c r="D268" s="2" t="n">
        <v>15</v>
      </c>
      <c r="E268" s="3">
        <f>INDEX('05_副属性基础'!$C$2:$C$11,MATCH(A268,'05_副属性基础'!$A$2:$A$11,0))</f>
        <v/>
      </c>
      <c r="F268" s="3">
        <f>INDEX('02_品质等级'!$D$2:$D$6,MATCH(C268,'02_品质等级'!$A$2:$A$6,0))</f>
        <v/>
      </c>
      <c r="G268" s="3">
        <f>INDEX('05_副属性基础'!$I$2:$I$13,MATCH(D268,'05_副属性基础'!$G$2:$G$13,0))</f>
        <v/>
      </c>
      <c r="H268" s="3">
        <f>INDEX('02_品质等级'!$G$2:$G$6,MATCH(C268,'02_品质等级'!$A$2:$A$6,0))</f>
        <v/>
      </c>
      <c r="I268" s="3">
        <f>INDEX('02_品质等级'!$H$2:$H$6,MATCH(C268,'02_品质等级'!$A$2:$A$6,0))</f>
        <v/>
      </c>
      <c r="J268" s="3">
        <f>E268*F268*G268*H268</f>
        <v/>
      </c>
      <c r="K268" s="3">
        <f>E268*F268*G268*I268</f>
        <v/>
      </c>
    </row>
    <row r="269">
      <c r="A269" s="2" t="inlineStr">
        <is>
          <t>防御</t>
        </is>
      </c>
      <c r="B269" s="2" t="inlineStr">
        <is>
          <t>固定值</t>
        </is>
      </c>
      <c r="C269" s="2" t="inlineStr">
        <is>
          <t>紫</t>
        </is>
      </c>
      <c r="D269" s="2" t="n">
        <v>20</v>
      </c>
      <c r="E269" s="3">
        <f>INDEX('05_副属性基础'!$C$2:$C$11,MATCH(A269,'05_副属性基础'!$A$2:$A$11,0))</f>
        <v/>
      </c>
      <c r="F269" s="3">
        <f>INDEX('02_品质等级'!$D$2:$D$6,MATCH(C269,'02_品质等级'!$A$2:$A$6,0))</f>
        <v/>
      </c>
      <c r="G269" s="3">
        <f>INDEX('05_副属性基础'!$I$2:$I$13,MATCH(D269,'05_副属性基础'!$G$2:$G$13,0))</f>
        <v/>
      </c>
      <c r="H269" s="3">
        <f>INDEX('02_品质等级'!$G$2:$G$6,MATCH(C269,'02_品质等级'!$A$2:$A$6,0))</f>
        <v/>
      </c>
      <c r="I269" s="3">
        <f>INDEX('02_品质等级'!$H$2:$H$6,MATCH(C269,'02_品质等级'!$A$2:$A$6,0))</f>
        <v/>
      </c>
      <c r="J269" s="3">
        <f>E269*F269*G269*H269</f>
        <v/>
      </c>
      <c r="K269" s="3">
        <f>E269*F269*G269*I269</f>
        <v/>
      </c>
    </row>
    <row r="270">
      <c r="A270" s="2" t="inlineStr">
        <is>
          <t>防御</t>
        </is>
      </c>
      <c r="B270" s="2" t="inlineStr">
        <is>
          <t>固定值</t>
        </is>
      </c>
      <c r="C270" s="2" t="inlineStr">
        <is>
          <t>紫</t>
        </is>
      </c>
      <c r="D270" s="2" t="n">
        <v>25</v>
      </c>
      <c r="E270" s="3">
        <f>INDEX('05_副属性基础'!$C$2:$C$11,MATCH(A270,'05_副属性基础'!$A$2:$A$11,0))</f>
        <v/>
      </c>
      <c r="F270" s="3">
        <f>INDEX('02_品质等级'!$D$2:$D$6,MATCH(C270,'02_品质等级'!$A$2:$A$6,0))</f>
        <v/>
      </c>
      <c r="G270" s="3">
        <f>INDEX('05_副属性基础'!$I$2:$I$13,MATCH(D270,'05_副属性基础'!$G$2:$G$13,0))</f>
        <v/>
      </c>
      <c r="H270" s="3">
        <f>INDEX('02_品质等级'!$G$2:$G$6,MATCH(C270,'02_品质等级'!$A$2:$A$6,0))</f>
        <v/>
      </c>
      <c r="I270" s="3">
        <f>INDEX('02_品质等级'!$H$2:$H$6,MATCH(C270,'02_品质等级'!$A$2:$A$6,0))</f>
        <v/>
      </c>
      <c r="J270" s="3">
        <f>E270*F270*G270*H270</f>
        <v/>
      </c>
      <c r="K270" s="3">
        <f>E270*F270*G270*I270</f>
        <v/>
      </c>
    </row>
    <row r="271">
      <c r="A271" s="2" t="inlineStr">
        <is>
          <t>防御</t>
        </is>
      </c>
      <c r="B271" s="2" t="inlineStr">
        <is>
          <t>固定值</t>
        </is>
      </c>
      <c r="C271" s="2" t="inlineStr">
        <is>
          <t>紫</t>
        </is>
      </c>
      <c r="D271" s="2" t="n">
        <v>30</v>
      </c>
      <c r="E271" s="3">
        <f>INDEX('05_副属性基础'!$C$2:$C$11,MATCH(A271,'05_副属性基础'!$A$2:$A$11,0))</f>
        <v/>
      </c>
      <c r="F271" s="3">
        <f>INDEX('02_品质等级'!$D$2:$D$6,MATCH(C271,'02_品质等级'!$A$2:$A$6,0))</f>
        <v/>
      </c>
      <c r="G271" s="3">
        <f>INDEX('05_副属性基础'!$I$2:$I$13,MATCH(D271,'05_副属性基础'!$G$2:$G$13,0))</f>
        <v/>
      </c>
      <c r="H271" s="3">
        <f>INDEX('02_品质等级'!$G$2:$G$6,MATCH(C271,'02_品质等级'!$A$2:$A$6,0))</f>
        <v/>
      </c>
      <c r="I271" s="3">
        <f>INDEX('02_品质等级'!$H$2:$H$6,MATCH(C271,'02_品质等级'!$A$2:$A$6,0))</f>
        <v/>
      </c>
      <c r="J271" s="3">
        <f>E271*F271*G271*H271</f>
        <v/>
      </c>
      <c r="K271" s="3">
        <f>E271*F271*G271*I271</f>
        <v/>
      </c>
    </row>
    <row r="272">
      <c r="A272" s="2" t="inlineStr">
        <is>
          <t>防御</t>
        </is>
      </c>
      <c r="B272" s="2" t="inlineStr">
        <is>
          <t>固定值</t>
        </is>
      </c>
      <c r="C272" s="2" t="inlineStr">
        <is>
          <t>紫</t>
        </is>
      </c>
      <c r="D272" s="2" t="n">
        <v>35</v>
      </c>
      <c r="E272" s="3">
        <f>INDEX('05_副属性基础'!$C$2:$C$11,MATCH(A272,'05_副属性基础'!$A$2:$A$11,0))</f>
        <v/>
      </c>
      <c r="F272" s="3">
        <f>INDEX('02_品质等级'!$D$2:$D$6,MATCH(C272,'02_品质等级'!$A$2:$A$6,0))</f>
        <v/>
      </c>
      <c r="G272" s="3">
        <f>INDEX('05_副属性基础'!$I$2:$I$13,MATCH(D272,'05_副属性基础'!$G$2:$G$13,0))</f>
        <v/>
      </c>
      <c r="H272" s="3">
        <f>INDEX('02_品质等级'!$G$2:$G$6,MATCH(C272,'02_品质等级'!$A$2:$A$6,0))</f>
        <v/>
      </c>
      <c r="I272" s="3">
        <f>INDEX('02_品质等级'!$H$2:$H$6,MATCH(C272,'02_品质等级'!$A$2:$A$6,0))</f>
        <v/>
      </c>
      <c r="J272" s="3">
        <f>E272*F272*G272*H272</f>
        <v/>
      </c>
      <c r="K272" s="3">
        <f>E272*F272*G272*I272</f>
        <v/>
      </c>
    </row>
    <row r="273">
      <c r="A273" s="2" t="inlineStr">
        <is>
          <t>防御</t>
        </is>
      </c>
      <c r="B273" s="2" t="inlineStr">
        <is>
          <t>固定值</t>
        </is>
      </c>
      <c r="C273" s="2" t="inlineStr">
        <is>
          <t>紫</t>
        </is>
      </c>
      <c r="D273" s="2" t="n">
        <v>40</v>
      </c>
      <c r="E273" s="3">
        <f>INDEX('05_副属性基础'!$C$2:$C$11,MATCH(A273,'05_副属性基础'!$A$2:$A$11,0))</f>
        <v/>
      </c>
      <c r="F273" s="3">
        <f>INDEX('02_品质等级'!$D$2:$D$6,MATCH(C273,'02_品质等级'!$A$2:$A$6,0))</f>
        <v/>
      </c>
      <c r="G273" s="3">
        <f>INDEX('05_副属性基础'!$I$2:$I$13,MATCH(D273,'05_副属性基础'!$G$2:$G$13,0))</f>
        <v/>
      </c>
      <c r="H273" s="3">
        <f>INDEX('02_品质等级'!$G$2:$G$6,MATCH(C273,'02_品质等级'!$A$2:$A$6,0))</f>
        <v/>
      </c>
      <c r="I273" s="3">
        <f>INDEX('02_品质等级'!$H$2:$H$6,MATCH(C273,'02_品质等级'!$A$2:$A$6,0))</f>
        <v/>
      </c>
      <c r="J273" s="3">
        <f>E273*F273*G273*H273</f>
        <v/>
      </c>
      <c r="K273" s="3">
        <f>E273*F273*G273*I273</f>
        <v/>
      </c>
    </row>
    <row r="274">
      <c r="A274" s="2" t="inlineStr">
        <is>
          <t>防御</t>
        </is>
      </c>
      <c r="B274" s="2" t="inlineStr">
        <is>
          <t>固定值</t>
        </is>
      </c>
      <c r="C274" s="2" t="inlineStr">
        <is>
          <t>紫</t>
        </is>
      </c>
      <c r="D274" s="2" t="n">
        <v>45</v>
      </c>
      <c r="E274" s="3">
        <f>INDEX('05_副属性基础'!$C$2:$C$11,MATCH(A274,'05_副属性基础'!$A$2:$A$11,0))</f>
        <v/>
      </c>
      <c r="F274" s="3">
        <f>INDEX('02_品质等级'!$D$2:$D$6,MATCH(C274,'02_品质等级'!$A$2:$A$6,0))</f>
        <v/>
      </c>
      <c r="G274" s="3">
        <f>INDEX('05_副属性基础'!$I$2:$I$13,MATCH(D274,'05_副属性基础'!$G$2:$G$13,0))</f>
        <v/>
      </c>
      <c r="H274" s="3">
        <f>INDEX('02_品质等级'!$G$2:$G$6,MATCH(C274,'02_品质等级'!$A$2:$A$6,0))</f>
        <v/>
      </c>
      <c r="I274" s="3">
        <f>INDEX('02_品质等级'!$H$2:$H$6,MATCH(C274,'02_品质等级'!$A$2:$A$6,0))</f>
        <v/>
      </c>
      <c r="J274" s="3">
        <f>E274*F274*G274*H274</f>
        <v/>
      </c>
      <c r="K274" s="3">
        <f>E274*F274*G274*I274</f>
        <v/>
      </c>
    </row>
    <row r="275">
      <c r="A275" s="2" t="inlineStr">
        <is>
          <t>防御</t>
        </is>
      </c>
      <c r="B275" s="2" t="inlineStr">
        <is>
          <t>固定值</t>
        </is>
      </c>
      <c r="C275" s="2" t="inlineStr">
        <is>
          <t>紫</t>
        </is>
      </c>
      <c r="D275" s="2" t="n">
        <v>50</v>
      </c>
      <c r="E275" s="3">
        <f>INDEX('05_副属性基础'!$C$2:$C$11,MATCH(A275,'05_副属性基础'!$A$2:$A$11,0))</f>
        <v/>
      </c>
      <c r="F275" s="3">
        <f>INDEX('02_品质等级'!$D$2:$D$6,MATCH(C275,'02_品质等级'!$A$2:$A$6,0))</f>
        <v/>
      </c>
      <c r="G275" s="3">
        <f>INDEX('05_副属性基础'!$I$2:$I$13,MATCH(D275,'05_副属性基础'!$G$2:$G$13,0))</f>
        <v/>
      </c>
      <c r="H275" s="3">
        <f>INDEX('02_品质等级'!$G$2:$G$6,MATCH(C275,'02_品质等级'!$A$2:$A$6,0))</f>
        <v/>
      </c>
      <c r="I275" s="3">
        <f>INDEX('02_品质等级'!$H$2:$H$6,MATCH(C275,'02_品质等级'!$A$2:$A$6,0))</f>
        <v/>
      </c>
      <c r="J275" s="3">
        <f>E275*F275*G275*H275</f>
        <v/>
      </c>
      <c r="K275" s="3">
        <f>E275*F275*G275*I275</f>
        <v/>
      </c>
    </row>
    <row r="276">
      <c r="A276" s="2" t="inlineStr">
        <is>
          <t>防御</t>
        </is>
      </c>
      <c r="B276" s="2" t="inlineStr">
        <is>
          <t>固定值</t>
        </is>
      </c>
      <c r="C276" s="2" t="inlineStr">
        <is>
          <t>紫</t>
        </is>
      </c>
      <c r="D276" s="2" t="n">
        <v>55</v>
      </c>
      <c r="E276" s="3">
        <f>INDEX('05_副属性基础'!$C$2:$C$11,MATCH(A276,'05_副属性基础'!$A$2:$A$11,0))</f>
        <v/>
      </c>
      <c r="F276" s="3">
        <f>INDEX('02_品质等级'!$D$2:$D$6,MATCH(C276,'02_品质等级'!$A$2:$A$6,0))</f>
        <v/>
      </c>
      <c r="G276" s="3">
        <f>INDEX('05_副属性基础'!$I$2:$I$13,MATCH(D276,'05_副属性基础'!$G$2:$G$13,0))</f>
        <v/>
      </c>
      <c r="H276" s="3">
        <f>INDEX('02_品质等级'!$G$2:$G$6,MATCH(C276,'02_品质等级'!$A$2:$A$6,0))</f>
        <v/>
      </c>
      <c r="I276" s="3">
        <f>INDEX('02_品质等级'!$H$2:$H$6,MATCH(C276,'02_品质等级'!$A$2:$A$6,0))</f>
        <v/>
      </c>
      <c r="J276" s="3">
        <f>E276*F276*G276*H276</f>
        <v/>
      </c>
      <c r="K276" s="3">
        <f>E276*F276*G276*I276</f>
        <v/>
      </c>
    </row>
    <row r="277">
      <c r="A277" s="2" t="inlineStr">
        <is>
          <t>防御</t>
        </is>
      </c>
      <c r="B277" s="2" t="inlineStr">
        <is>
          <t>固定值</t>
        </is>
      </c>
      <c r="C277" s="2" t="inlineStr">
        <is>
          <t>紫</t>
        </is>
      </c>
      <c r="D277" s="2" t="n">
        <v>60</v>
      </c>
      <c r="E277" s="3">
        <f>INDEX('05_副属性基础'!$C$2:$C$11,MATCH(A277,'05_副属性基础'!$A$2:$A$11,0))</f>
        <v/>
      </c>
      <c r="F277" s="3">
        <f>INDEX('02_品质等级'!$D$2:$D$6,MATCH(C277,'02_品质等级'!$A$2:$A$6,0))</f>
        <v/>
      </c>
      <c r="G277" s="3">
        <f>INDEX('05_副属性基础'!$I$2:$I$13,MATCH(D277,'05_副属性基础'!$G$2:$G$13,0))</f>
        <v/>
      </c>
      <c r="H277" s="3">
        <f>INDEX('02_品质等级'!$G$2:$G$6,MATCH(C277,'02_品质等级'!$A$2:$A$6,0))</f>
        <v/>
      </c>
      <c r="I277" s="3">
        <f>INDEX('02_品质等级'!$H$2:$H$6,MATCH(C277,'02_品质等级'!$A$2:$A$6,0))</f>
        <v/>
      </c>
      <c r="J277" s="3">
        <f>E277*F277*G277*H277</f>
        <v/>
      </c>
      <c r="K277" s="3">
        <f>E277*F277*G277*I277</f>
        <v/>
      </c>
    </row>
    <row r="278">
      <c r="A278" s="2" t="inlineStr">
        <is>
          <t>防御</t>
        </is>
      </c>
      <c r="B278" s="2" t="inlineStr">
        <is>
          <t>固定值</t>
        </is>
      </c>
      <c r="C278" s="2" t="inlineStr">
        <is>
          <t>金</t>
        </is>
      </c>
      <c r="D278" s="2" t="n">
        <v>5</v>
      </c>
      <c r="E278" s="3">
        <f>INDEX('05_副属性基础'!$C$2:$C$11,MATCH(A278,'05_副属性基础'!$A$2:$A$11,0))</f>
        <v/>
      </c>
      <c r="F278" s="3">
        <f>INDEX('02_品质等级'!$D$2:$D$6,MATCH(C278,'02_品质等级'!$A$2:$A$6,0))</f>
        <v/>
      </c>
      <c r="G278" s="3">
        <f>INDEX('05_副属性基础'!$I$2:$I$13,MATCH(D278,'05_副属性基础'!$G$2:$G$13,0))</f>
        <v/>
      </c>
      <c r="H278" s="3">
        <f>INDEX('02_品质等级'!$G$2:$G$6,MATCH(C278,'02_品质等级'!$A$2:$A$6,0))</f>
        <v/>
      </c>
      <c r="I278" s="3">
        <f>INDEX('02_品质等级'!$H$2:$H$6,MATCH(C278,'02_品质等级'!$A$2:$A$6,0))</f>
        <v/>
      </c>
      <c r="J278" s="3">
        <f>E278*F278*G278*H278</f>
        <v/>
      </c>
      <c r="K278" s="3">
        <f>E278*F278*G278*I278</f>
        <v/>
      </c>
    </row>
    <row r="279">
      <c r="A279" s="2" t="inlineStr">
        <is>
          <t>防御</t>
        </is>
      </c>
      <c r="B279" s="2" t="inlineStr">
        <is>
          <t>固定值</t>
        </is>
      </c>
      <c r="C279" s="2" t="inlineStr">
        <is>
          <t>金</t>
        </is>
      </c>
      <c r="D279" s="2" t="n">
        <v>10</v>
      </c>
      <c r="E279" s="3">
        <f>INDEX('05_副属性基础'!$C$2:$C$11,MATCH(A279,'05_副属性基础'!$A$2:$A$11,0))</f>
        <v/>
      </c>
      <c r="F279" s="3">
        <f>INDEX('02_品质等级'!$D$2:$D$6,MATCH(C279,'02_品质等级'!$A$2:$A$6,0))</f>
        <v/>
      </c>
      <c r="G279" s="3">
        <f>INDEX('05_副属性基础'!$I$2:$I$13,MATCH(D279,'05_副属性基础'!$G$2:$G$13,0))</f>
        <v/>
      </c>
      <c r="H279" s="3">
        <f>INDEX('02_品质等级'!$G$2:$G$6,MATCH(C279,'02_品质等级'!$A$2:$A$6,0))</f>
        <v/>
      </c>
      <c r="I279" s="3">
        <f>INDEX('02_品质等级'!$H$2:$H$6,MATCH(C279,'02_品质等级'!$A$2:$A$6,0))</f>
        <v/>
      </c>
      <c r="J279" s="3">
        <f>E279*F279*G279*H279</f>
        <v/>
      </c>
      <c r="K279" s="3">
        <f>E279*F279*G279*I279</f>
        <v/>
      </c>
    </row>
    <row r="280">
      <c r="A280" s="2" t="inlineStr">
        <is>
          <t>防御</t>
        </is>
      </c>
      <c r="B280" s="2" t="inlineStr">
        <is>
          <t>固定值</t>
        </is>
      </c>
      <c r="C280" s="2" t="inlineStr">
        <is>
          <t>金</t>
        </is>
      </c>
      <c r="D280" s="2" t="n">
        <v>15</v>
      </c>
      <c r="E280" s="3">
        <f>INDEX('05_副属性基础'!$C$2:$C$11,MATCH(A280,'05_副属性基础'!$A$2:$A$11,0))</f>
        <v/>
      </c>
      <c r="F280" s="3">
        <f>INDEX('02_品质等级'!$D$2:$D$6,MATCH(C280,'02_品质等级'!$A$2:$A$6,0))</f>
        <v/>
      </c>
      <c r="G280" s="3">
        <f>INDEX('05_副属性基础'!$I$2:$I$13,MATCH(D280,'05_副属性基础'!$G$2:$G$13,0))</f>
        <v/>
      </c>
      <c r="H280" s="3">
        <f>INDEX('02_品质等级'!$G$2:$G$6,MATCH(C280,'02_品质等级'!$A$2:$A$6,0))</f>
        <v/>
      </c>
      <c r="I280" s="3">
        <f>INDEX('02_品质等级'!$H$2:$H$6,MATCH(C280,'02_品质等级'!$A$2:$A$6,0))</f>
        <v/>
      </c>
      <c r="J280" s="3">
        <f>E280*F280*G280*H280</f>
        <v/>
      </c>
      <c r="K280" s="3">
        <f>E280*F280*G280*I280</f>
        <v/>
      </c>
    </row>
    <row r="281">
      <c r="A281" s="2" t="inlineStr">
        <is>
          <t>防御</t>
        </is>
      </c>
      <c r="B281" s="2" t="inlineStr">
        <is>
          <t>固定值</t>
        </is>
      </c>
      <c r="C281" s="2" t="inlineStr">
        <is>
          <t>金</t>
        </is>
      </c>
      <c r="D281" s="2" t="n">
        <v>20</v>
      </c>
      <c r="E281" s="3">
        <f>INDEX('05_副属性基础'!$C$2:$C$11,MATCH(A281,'05_副属性基础'!$A$2:$A$11,0))</f>
        <v/>
      </c>
      <c r="F281" s="3">
        <f>INDEX('02_品质等级'!$D$2:$D$6,MATCH(C281,'02_品质等级'!$A$2:$A$6,0))</f>
        <v/>
      </c>
      <c r="G281" s="3">
        <f>INDEX('05_副属性基础'!$I$2:$I$13,MATCH(D281,'05_副属性基础'!$G$2:$G$13,0))</f>
        <v/>
      </c>
      <c r="H281" s="3">
        <f>INDEX('02_品质等级'!$G$2:$G$6,MATCH(C281,'02_品质等级'!$A$2:$A$6,0))</f>
        <v/>
      </c>
      <c r="I281" s="3">
        <f>INDEX('02_品质等级'!$H$2:$H$6,MATCH(C281,'02_品质等级'!$A$2:$A$6,0))</f>
        <v/>
      </c>
      <c r="J281" s="3">
        <f>E281*F281*G281*H281</f>
        <v/>
      </c>
      <c r="K281" s="3">
        <f>E281*F281*G281*I281</f>
        <v/>
      </c>
    </row>
    <row r="282">
      <c r="A282" s="2" t="inlineStr">
        <is>
          <t>防御</t>
        </is>
      </c>
      <c r="B282" s="2" t="inlineStr">
        <is>
          <t>固定值</t>
        </is>
      </c>
      <c r="C282" s="2" t="inlineStr">
        <is>
          <t>金</t>
        </is>
      </c>
      <c r="D282" s="2" t="n">
        <v>25</v>
      </c>
      <c r="E282" s="3">
        <f>INDEX('05_副属性基础'!$C$2:$C$11,MATCH(A282,'05_副属性基础'!$A$2:$A$11,0))</f>
        <v/>
      </c>
      <c r="F282" s="3">
        <f>INDEX('02_品质等级'!$D$2:$D$6,MATCH(C282,'02_品质等级'!$A$2:$A$6,0))</f>
        <v/>
      </c>
      <c r="G282" s="3">
        <f>INDEX('05_副属性基础'!$I$2:$I$13,MATCH(D282,'05_副属性基础'!$G$2:$G$13,0))</f>
        <v/>
      </c>
      <c r="H282" s="3">
        <f>INDEX('02_品质等级'!$G$2:$G$6,MATCH(C282,'02_品质等级'!$A$2:$A$6,0))</f>
        <v/>
      </c>
      <c r="I282" s="3">
        <f>INDEX('02_品质等级'!$H$2:$H$6,MATCH(C282,'02_品质等级'!$A$2:$A$6,0))</f>
        <v/>
      </c>
      <c r="J282" s="3">
        <f>E282*F282*G282*H282</f>
        <v/>
      </c>
      <c r="K282" s="3">
        <f>E282*F282*G282*I282</f>
        <v/>
      </c>
    </row>
    <row r="283">
      <c r="A283" s="2" t="inlineStr">
        <is>
          <t>防御</t>
        </is>
      </c>
      <c r="B283" s="2" t="inlineStr">
        <is>
          <t>固定值</t>
        </is>
      </c>
      <c r="C283" s="2" t="inlineStr">
        <is>
          <t>金</t>
        </is>
      </c>
      <c r="D283" s="2" t="n">
        <v>30</v>
      </c>
      <c r="E283" s="3">
        <f>INDEX('05_副属性基础'!$C$2:$C$11,MATCH(A283,'05_副属性基础'!$A$2:$A$11,0))</f>
        <v/>
      </c>
      <c r="F283" s="3">
        <f>INDEX('02_品质等级'!$D$2:$D$6,MATCH(C283,'02_品质等级'!$A$2:$A$6,0))</f>
        <v/>
      </c>
      <c r="G283" s="3">
        <f>INDEX('05_副属性基础'!$I$2:$I$13,MATCH(D283,'05_副属性基础'!$G$2:$G$13,0))</f>
        <v/>
      </c>
      <c r="H283" s="3">
        <f>INDEX('02_品质等级'!$G$2:$G$6,MATCH(C283,'02_品质等级'!$A$2:$A$6,0))</f>
        <v/>
      </c>
      <c r="I283" s="3">
        <f>INDEX('02_品质等级'!$H$2:$H$6,MATCH(C283,'02_品质等级'!$A$2:$A$6,0))</f>
        <v/>
      </c>
      <c r="J283" s="3">
        <f>E283*F283*G283*H283</f>
        <v/>
      </c>
      <c r="K283" s="3">
        <f>E283*F283*G283*I283</f>
        <v/>
      </c>
    </row>
    <row r="284">
      <c r="A284" s="2" t="inlineStr">
        <is>
          <t>防御</t>
        </is>
      </c>
      <c r="B284" s="2" t="inlineStr">
        <is>
          <t>固定值</t>
        </is>
      </c>
      <c r="C284" s="2" t="inlineStr">
        <is>
          <t>金</t>
        </is>
      </c>
      <c r="D284" s="2" t="n">
        <v>35</v>
      </c>
      <c r="E284" s="3">
        <f>INDEX('05_副属性基础'!$C$2:$C$11,MATCH(A284,'05_副属性基础'!$A$2:$A$11,0))</f>
        <v/>
      </c>
      <c r="F284" s="3">
        <f>INDEX('02_品质等级'!$D$2:$D$6,MATCH(C284,'02_品质等级'!$A$2:$A$6,0))</f>
        <v/>
      </c>
      <c r="G284" s="3">
        <f>INDEX('05_副属性基础'!$I$2:$I$13,MATCH(D284,'05_副属性基础'!$G$2:$G$13,0))</f>
        <v/>
      </c>
      <c r="H284" s="3">
        <f>INDEX('02_品质等级'!$G$2:$G$6,MATCH(C284,'02_品质等级'!$A$2:$A$6,0))</f>
        <v/>
      </c>
      <c r="I284" s="3">
        <f>INDEX('02_品质等级'!$H$2:$H$6,MATCH(C284,'02_品质等级'!$A$2:$A$6,0))</f>
        <v/>
      </c>
      <c r="J284" s="3">
        <f>E284*F284*G284*H284</f>
        <v/>
      </c>
      <c r="K284" s="3">
        <f>E284*F284*G284*I284</f>
        <v/>
      </c>
    </row>
    <row r="285">
      <c r="A285" s="2" t="inlineStr">
        <is>
          <t>防御</t>
        </is>
      </c>
      <c r="B285" s="2" t="inlineStr">
        <is>
          <t>固定值</t>
        </is>
      </c>
      <c r="C285" s="2" t="inlineStr">
        <is>
          <t>金</t>
        </is>
      </c>
      <c r="D285" s="2" t="n">
        <v>40</v>
      </c>
      <c r="E285" s="3">
        <f>INDEX('05_副属性基础'!$C$2:$C$11,MATCH(A285,'05_副属性基础'!$A$2:$A$11,0))</f>
        <v/>
      </c>
      <c r="F285" s="3">
        <f>INDEX('02_品质等级'!$D$2:$D$6,MATCH(C285,'02_品质等级'!$A$2:$A$6,0))</f>
        <v/>
      </c>
      <c r="G285" s="3">
        <f>INDEX('05_副属性基础'!$I$2:$I$13,MATCH(D285,'05_副属性基础'!$G$2:$G$13,0))</f>
        <v/>
      </c>
      <c r="H285" s="3">
        <f>INDEX('02_品质等级'!$G$2:$G$6,MATCH(C285,'02_品质等级'!$A$2:$A$6,0))</f>
        <v/>
      </c>
      <c r="I285" s="3">
        <f>INDEX('02_品质等级'!$H$2:$H$6,MATCH(C285,'02_品质等级'!$A$2:$A$6,0))</f>
        <v/>
      </c>
      <c r="J285" s="3">
        <f>E285*F285*G285*H285</f>
        <v/>
      </c>
      <c r="K285" s="3">
        <f>E285*F285*G285*I285</f>
        <v/>
      </c>
    </row>
    <row r="286">
      <c r="A286" s="2" t="inlineStr">
        <is>
          <t>防御</t>
        </is>
      </c>
      <c r="B286" s="2" t="inlineStr">
        <is>
          <t>固定值</t>
        </is>
      </c>
      <c r="C286" s="2" t="inlineStr">
        <is>
          <t>金</t>
        </is>
      </c>
      <c r="D286" s="2" t="n">
        <v>45</v>
      </c>
      <c r="E286" s="3">
        <f>INDEX('05_副属性基础'!$C$2:$C$11,MATCH(A286,'05_副属性基础'!$A$2:$A$11,0))</f>
        <v/>
      </c>
      <c r="F286" s="3">
        <f>INDEX('02_品质等级'!$D$2:$D$6,MATCH(C286,'02_品质等级'!$A$2:$A$6,0))</f>
        <v/>
      </c>
      <c r="G286" s="3">
        <f>INDEX('05_副属性基础'!$I$2:$I$13,MATCH(D286,'05_副属性基础'!$G$2:$G$13,0))</f>
        <v/>
      </c>
      <c r="H286" s="3">
        <f>INDEX('02_品质等级'!$G$2:$G$6,MATCH(C286,'02_品质等级'!$A$2:$A$6,0))</f>
        <v/>
      </c>
      <c r="I286" s="3">
        <f>INDEX('02_品质等级'!$H$2:$H$6,MATCH(C286,'02_品质等级'!$A$2:$A$6,0))</f>
        <v/>
      </c>
      <c r="J286" s="3">
        <f>E286*F286*G286*H286</f>
        <v/>
      </c>
      <c r="K286" s="3">
        <f>E286*F286*G286*I286</f>
        <v/>
      </c>
    </row>
    <row r="287">
      <c r="A287" s="2" t="inlineStr">
        <is>
          <t>防御</t>
        </is>
      </c>
      <c r="B287" s="2" t="inlineStr">
        <is>
          <t>固定值</t>
        </is>
      </c>
      <c r="C287" s="2" t="inlineStr">
        <is>
          <t>金</t>
        </is>
      </c>
      <c r="D287" s="2" t="n">
        <v>50</v>
      </c>
      <c r="E287" s="3">
        <f>INDEX('05_副属性基础'!$C$2:$C$11,MATCH(A287,'05_副属性基础'!$A$2:$A$11,0))</f>
        <v/>
      </c>
      <c r="F287" s="3">
        <f>INDEX('02_品质等级'!$D$2:$D$6,MATCH(C287,'02_品质等级'!$A$2:$A$6,0))</f>
        <v/>
      </c>
      <c r="G287" s="3">
        <f>INDEX('05_副属性基础'!$I$2:$I$13,MATCH(D287,'05_副属性基础'!$G$2:$G$13,0))</f>
        <v/>
      </c>
      <c r="H287" s="3">
        <f>INDEX('02_品质等级'!$G$2:$G$6,MATCH(C287,'02_品质等级'!$A$2:$A$6,0))</f>
        <v/>
      </c>
      <c r="I287" s="3">
        <f>INDEX('02_品质等级'!$H$2:$H$6,MATCH(C287,'02_品质等级'!$A$2:$A$6,0))</f>
        <v/>
      </c>
      <c r="J287" s="3">
        <f>E287*F287*G287*H287</f>
        <v/>
      </c>
      <c r="K287" s="3">
        <f>E287*F287*G287*I287</f>
        <v/>
      </c>
    </row>
    <row r="288">
      <c r="A288" s="2" t="inlineStr">
        <is>
          <t>防御</t>
        </is>
      </c>
      <c r="B288" s="2" t="inlineStr">
        <is>
          <t>固定值</t>
        </is>
      </c>
      <c r="C288" s="2" t="inlineStr">
        <is>
          <t>金</t>
        </is>
      </c>
      <c r="D288" s="2" t="n">
        <v>55</v>
      </c>
      <c r="E288" s="3">
        <f>INDEX('05_副属性基础'!$C$2:$C$11,MATCH(A288,'05_副属性基础'!$A$2:$A$11,0))</f>
        <v/>
      </c>
      <c r="F288" s="3">
        <f>INDEX('02_品质等级'!$D$2:$D$6,MATCH(C288,'02_品质等级'!$A$2:$A$6,0))</f>
        <v/>
      </c>
      <c r="G288" s="3">
        <f>INDEX('05_副属性基础'!$I$2:$I$13,MATCH(D288,'05_副属性基础'!$G$2:$G$13,0))</f>
        <v/>
      </c>
      <c r="H288" s="3">
        <f>INDEX('02_品质等级'!$G$2:$G$6,MATCH(C288,'02_品质等级'!$A$2:$A$6,0))</f>
        <v/>
      </c>
      <c r="I288" s="3">
        <f>INDEX('02_品质等级'!$H$2:$H$6,MATCH(C288,'02_品质等级'!$A$2:$A$6,0))</f>
        <v/>
      </c>
      <c r="J288" s="3">
        <f>E288*F288*G288*H288</f>
        <v/>
      </c>
      <c r="K288" s="3">
        <f>E288*F288*G288*I288</f>
        <v/>
      </c>
    </row>
    <row r="289">
      <c r="A289" s="2" t="inlineStr">
        <is>
          <t>防御</t>
        </is>
      </c>
      <c r="B289" s="2" t="inlineStr">
        <is>
          <t>固定值</t>
        </is>
      </c>
      <c r="C289" s="2" t="inlineStr">
        <is>
          <t>金</t>
        </is>
      </c>
      <c r="D289" s="2" t="n">
        <v>60</v>
      </c>
      <c r="E289" s="3">
        <f>INDEX('05_副属性基础'!$C$2:$C$11,MATCH(A289,'05_副属性基础'!$A$2:$A$11,0))</f>
        <v/>
      </c>
      <c r="F289" s="3">
        <f>INDEX('02_品质等级'!$D$2:$D$6,MATCH(C289,'02_品质等级'!$A$2:$A$6,0))</f>
        <v/>
      </c>
      <c r="G289" s="3">
        <f>INDEX('05_副属性基础'!$I$2:$I$13,MATCH(D289,'05_副属性基础'!$G$2:$G$13,0))</f>
        <v/>
      </c>
      <c r="H289" s="3">
        <f>INDEX('02_品质等级'!$G$2:$G$6,MATCH(C289,'02_品质等级'!$A$2:$A$6,0))</f>
        <v/>
      </c>
      <c r="I289" s="3">
        <f>INDEX('02_品质等级'!$H$2:$H$6,MATCH(C289,'02_品质等级'!$A$2:$A$6,0))</f>
        <v/>
      </c>
      <c r="J289" s="3">
        <f>E289*F289*G289*H289</f>
        <v/>
      </c>
      <c r="K289" s="3">
        <f>E289*F289*G289*I289</f>
        <v/>
      </c>
    </row>
    <row r="290">
      <c r="A290" s="2" t="inlineStr">
        <is>
          <t>防御</t>
        </is>
      </c>
      <c r="B290" s="2" t="inlineStr">
        <is>
          <t>固定值</t>
        </is>
      </c>
      <c r="C290" s="2" t="inlineStr">
        <is>
          <t>红</t>
        </is>
      </c>
      <c r="D290" s="2" t="n">
        <v>5</v>
      </c>
      <c r="E290" s="3">
        <f>INDEX('05_副属性基础'!$C$2:$C$11,MATCH(A290,'05_副属性基础'!$A$2:$A$11,0))</f>
        <v/>
      </c>
      <c r="F290" s="3">
        <f>INDEX('02_品质等级'!$D$2:$D$6,MATCH(C290,'02_品质等级'!$A$2:$A$6,0))</f>
        <v/>
      </c>
      <c r="G290" s="3">
        <f>INDEX('05_副属性基础'!$I$2:$I$13,MATCH(D290,'05_副属性基础'!$G$2:$G$13,0))</f>
        <v/>
      </c>
      <c r="H290" s="3">
        <f>INDEX('02_品质等级'!$G$2:$G$6,MATCH(C290,'02_品质等级'!$A$2:$A$6,0))</f>
        <v/>
      </c>
      <c r="I290" s="3">
        <f>INDEX('02_品质等级'!$H$2:$H$6,MATCH(C290,'02_品质等级'!$A$2:$A$6,0))</f>
        <v/>
      </c>
      <c r="J290" s="3">
        <f>E290*F290*G290*H290</f>
        <v/>
      </c>
      <c r="K290" s="3">
        <f>E290*F290*G290*I290</f>
        <v/>
      </c>
    </row>
    <row r="291">
      <c r="A291" s="2" t="inlineStr">
        <is>
          <t>防御</t>
        </is>
      </c>
      <c r="B291" s="2" t="inlineStr">
        <is>
          <t>固定值</t>
        </is>
      </c>
      <c r="C291" s="2" t="inlineStr">
        <is>
          <t>红</t>
        </is>
      </c>
      <c r="D291" s="2" t="n">
        <v>10</v>
      </c>
      <c r="E291" s="3">
        <f>INDEX('05_副属性基础'!$C$2:$C$11,MATCH(A291,'05_副属性基础'!$A$2:$A$11,0))</f>
        <v/>
      </c>
      <c r="F291" s="3">
        <f>INDEX('02_品质等级'!$D$2:$D$6,MATCH(C291,'02_品质等级'!$A$2:$A$6,0))</f>
        <v/>
      </c>
      <c r="G291" s="3">
        <f>INDEX('05_副属性基础'!$I$2:$I$13,MATCH(D291,'05_副属性基础'!$G$2:$G$13,0))</f>
        <v/>
      </c>
      <c r="H291" s="3">
        <f>INDEX('02_品质等级'!$G$2:$G$6,MATCH(C291,'02_品质等级'!$A$2:$A$6,0))</f>
        <v/>
      </c>
      <c r="I291" s="3">
        <f>INDEX('02_品质等级'!$H$2:$H$6,MATCH(C291,'02_品质等级'!$A$2:$A$6,0))</f>
        <v/>
      </c>
      <c r="J291" s="3">
        <f>E291*F291*G291*H291</f>
        <v/>
      </c>
      <c r="K291" s="3">
        <f>E291*F291*G291*I291</f>
        <v/>
      </c>
    </row>
    <row r="292">
      <c r="A292" s="2" t="inlineStr">
        <is>
          <t>防御</t>
        </is>
      </c>
      <c r="B292" s="2" t="inlineStr">
        <is>
          <t>固定值</t>
        </is>
      </c>
      <c r="C292" s="2" t="inlineStr">
        <is>
          <t>红</t>
        </is>
      </c>
      <c r="D292" s="2" t="n">
        <v>15</v>
      </c>
      <c r="E292" s="3">
        <f>INDEX('05_副属性基础'!$C$2:$C$11,MATCH(A292,'05_副属性基础'!$A$2:$A$11,0))</f>
        <v/>
      </c>
      <c r="F292" s="3">
        <f>INDEX('02_品质等级'!$D$2:$D$6,MATCH(C292,'02_品质等级'!$A$2:$A$6,0))</f>
        <v/>
      </c>
      <c r="G292" s="3">
        <f>INDEX('05_副属性基础'!$I$2:$I$13,MATCH(D292,'05_副属性基础'!$G$2:$G$13,0))</f>
        <v/>
      </c>
      <c r="H292" s="3">
        <f>INDEX('02_品质等级'!$G$2:$G$6,MATCH(C292,'02_品质等级'!$A$2:$A$6,0))</f>
        <v/>
      </c>
      <c r="I292" s="3">
        <f>INDEX('02_品质等级'!$H$2:$H$6,MATCH(C292,'02_品质等级'!$A$2:$A$6,0))</f>
        <v/>
      </c>
      <c r="J292" s="3">
        <f>E292*F292*G292*H292</f>
        <v/>
      </c>
      <c r="K292" s="3">
        <f>E292*F292*G292*I292</f>
        <v/>
      </c>
    </row>
    <row r="293">
      <c r="A293" s="2" t="inlineStr">
        <is>
          <t>防御</t>
        </is>
      </c>
      <c r="B293" s="2" t="inlineStr">
        <is>
          <t>固定值</t>
        </is>
      </c>
      <c r="C293" s="2" t="inlineStr">
        <is>
          <t>红</t>
        </is>
      </c>
      <c r="D293" s="2" t="n">
        <v>20</v>
      </c>
      <c r="E293" s="3">
        <f>INDEX('05_副属性基础'!$C$2:$C$11,MATCH(A293,'05_副属性基础'!$A$2:$A$11,0))</f>
        <v/>
      </c>
      <c r="F293" s="3">
        <f>INDEX('02_品质等级'!$D$2:$D$6,MATCH(C293,'02_品质等级'!$A$2:$A$6,0))</f>
        <v/>
      </c>
      <c r="G293" s="3">
        <f>INDEX('05_副属性基础'!$I$2:$I$13,MATCH(D293,'05_副属性基础'!$G$2:$G$13,0))</f>
        <v/>
      </c>
      <c r="H293" s="3">
        <f>INDEX('02_品质等级'!$G$2:$G$6,MATCH(C293,'02_品质等级'!$A$2:$A$6,0))</f>
        <v/>
      </c>
      <c r="I293" s="3">
        <f>INDEX('02_品质等级'!$H$2:$H$6,MATCH(C293,'02_品质等级'!$A$2:$A$6,0))</f>
        <v/>
      </c>
      <c r="J293" s="3">
        <f>E293*F293*G293*H293</f>
        <v/>
      </c>
      <c r="K293" s="3">
        <f>E293*F293*G293*I293</f>
        <v/>
      </c>
    </row>
    <row r="294">
      <c r="A294" s="2" t="inlineStr">
        <is>
          <t>防御</t>
        </is>
      </c>
      <c r="B294" s="2" t="inlineStr">
        <is>
          <t>固定值</t>
        </is>
      </c>
      <c r="C294" s="2" t="inlineStr">
        <is>
          <t>红</t>
        </is>
      </c>
      <c r="D294" s="2" t="n">
        <v>25</v>
      </c>
      <c r="E294" s="3">
        <f>INDEX('05_副属性基础'!$C$2:$C$11,MATCH(A294,'05_副属性基础'!$A$2:$A$11,0))</f>
        <v/>
      </c>
      <c r="F294" s="3">
        <f>INDEX('02_品质等级'!$D$2:$D$6,MATCH(C294,'02_品质等级'!$A$2:$A$6,0))</f>
        <v/>
      </c>
      <c r="G294" s="3">
        <f>INDEX('05_副属性基础'!$I$2:$I$13,MATCH(D294,'05_副属性基础'!$G$2:$G$13,0))</f>
        <v/>
      </c>
      <c r="H294" s="3">
        <f>INDEX('02_品质等级'!$G$2:$G$6,MATCH(C294,'02_品质等级'!$A$2:$A$6,0))</f>
        <v/>
      </c>
      <c r="I294" s="3">
        <f>INDEX('02_品质等级'!$H$2:$H$6,MATCH(C294,'02_品质等级'!$A$2:$A$6,0))</f>
        <v/>
      </c>
      <c r="J294" s="3">
        <f>E294*F294*G294*H294</f>
        <v/>
      </c>
      <c r="K294" s="3">
        <f>E294*F294*G294*I294</f>
        <v/>
      </c>
    </row>
    <row r="295">
      <c r="A295" s="2" t="inlineStr">
        <is>
          <t>防御</t>
        </is>
      </c>
      <c r="B295" s="2" t="inlineStr">
        <is>
          <t>固定值</t>
        </is>
      </c>
      <c r="C295" s="2" t="inlineStr">
        <is>
          <t>红</t>
        </is>
      </c>
      <c r="D295" s="2" t="n">
        <v>30</v>
      </c>
      <c r="E295" s="3">
        <f>INDEX('05_副属性基础'!$C$2:$C$11,MATCH(A295,'05_副属性基础'!$A$2:$A$11,0))</f>
        <v/>
      </c>
      <c r="F295" s="3">
        <f>INDEX('02_品质等级'!$D$2:$D$6,MATCH(C295,'02_品质等级'!$A$2:$A$6,0))</f>
        <v/>
      </c>
      <c r="G295" s="3">
        <f>INDEX('05_副属性基础'!$I$2:$I$13,MATCH(D295,'05_副属性基础'!$G$2:$G$13,0))</f>
        <v/>
      </c>
      <c r="H295" s="3">
        <f>INDEX('02_品质等级'!$G$2:$G$6,MATCH(C295,'02_品质等级'!$A$2:$A$6,0))</f>
        <v/>
      </c>
      <c r="I295" s="3">
        <f>INDEX('02_品质等级'!$H$2:$H$6,MATCH(C295,'02_品质等级'!$A$2:$A$6,0))</f>
        <v/>
      </c>
      <c r="J295" s="3">
        <f>E295*F295*G295*H295</f>
        <v/>
      </c>
      <c r="K295" s="3">
        <f>E295*F295*G295*I295</f>
        <v/>
      </c>
    </row>
    <row r="296">
      <c r="A296" s="2" t="inlineStr">
        <is>
          <t>防御</t>
        </is>
      </c>
      <c r="B296" s="2" t="inlineStr">
        <is>
          <t>固定值</t>
        </is>
      </c>
      <c r="C296" s="2" t="inlineStr">
        <is>
          <t>红</t>
        </is>
      </c>
      <c r="D296" s="2" t="n">
        <v>35</v>
      </c>
      <c r="E296" s="3">
        <f>INDEX('05_副属性基础'!$C$2:$C$11,MATCH(A296,'05_副属性基础'!$A$2:$A$11,0))</f>
        <v/>
      </c>
      <c r="F296" s="3">
        <f>INDEX('02_品质等级'!$D$2:$D$6,MATCH(C296,'02_品质等级'!$A$2:$A$6,0))</f>
        <v/>
      </c>
      <c r="G296" s="3">
        <f>INDEX('05_副属性基础'!$I$2:$I$13,MATCH(D296,'05_副属性基础'!$G$2:$G$13,0))</f>
        <v/>
      </c>
      <c r="H296" s="3">
        <f>INDEX('02_品质等级'!$G$2:$G$6,MATCH(C296,'02_品质等级'!$A$2:$A$6,0))</f>
        <v/>
      </c>
      <c r="I296" s="3">
        <f>INDEX('02_品质等级'!$H$2:$H$6,MATCH(C296,'02_品质等级'!$A$2:$A$6,0))</f>
        <v/>
      </c>
      <c r="J296" s="3">
        <f>E296*F296*G296*H296</f>
        <v/>
      </c>
      <c r="K296" s="3">
        <f>E296*F296*G296*I296</f>
        <v/>
      </c>
    </row>
    <row r="297">
      <c r="A297" s="2" t="inlineStr">
        <is>
          <t>防御</t>
        </is>
      </c>
      <c r="B297" s="2" t="inlineStr">
        <is>
          <t>固定值</t>
        </is>
      </c>
      <c r="C297" s="2" t="inlineStr">
        <is>
          <t>红</t>
        </is>
      </c>
      <c r="D297" s="2" t="n">
        <v>40</v>
      </c>
      <c r="E297" s="3">
        <f>INDEX('05_副属性基础'!$C$2:$C$11,MATCH(A297,'05_副属性基础'!$A$2:$A$11,0))</f>
        <v/>
      </c>
      <c r="F297" s="3">
        <f>INDEX('02_品质等级'!$D$2:$D$6,MATCH(C297,'02_品质等级'!$A$2:$A$6,0))</f>
        <v/>
      </c>
      <c r="G297" s="3">
        <f>INDEX('05_副属性基础'!$I$2:$I$13,MATCH(D297,'05_副属性基础'!$G$2:$G$13,0))</f>
        <v/>
      </c>
      <c r="H297" s="3">
        <f>INDEX('02_品质等级'!$G$2:$G$6,MATCH(C297,'02_品质等级'!$A$2:$A$6,0))</f>
        <v/>
      </c>
      <c r="I297" s="3">
        <f>INDEX('02_品质等级'!$H$2:$H$6,MATCH(C297,'02_品质等级'!$A$2:$A$6,0))</f>
        <v/>
      </c>
      <c r="J297" s="3">
        <f>E297*F297*G297*H297</f>
        <v/>
      </c>
      <c r="K297" s="3">
        <f>E297*F297*G297*I297</f>
        <v/>
      </c>
    </row>
    <row r="298">
      <c r="A298" s="2" t="inlineStr">
        <is>
          <t>防御</t>
        </is>
      </c>
      <c r="B298" s="2" t="inlineStr">
        <is>
          <t>固定值</t>
        </is>
      </c>
      <c r="C298" s="2" t="inlineStr">
        <is>
          <t>红</t>
        </is>
      </c>
      <c r="D298" s="2" t="n">
        <v>45</v>
      </c>
      <c r="E298" s="3">
        <f>INDEX('05_副属性基础'!$C$2:$C$11,MATCH(A298,'05_副属性基础'!$A$2:$A$11,0))</f>
        <v/>
      </c>
      <c r="F298" s="3">
        <f>INDEX('02_品质等级'!$D$2:$D$6,MATCH(C298,'02_品质等级'!$A$2:$A$6,0))</f>
        <v/>
      </c>
      <c r="G298" s="3">
        <f>INDEX('05_副属性基础'!$I$2:$I$13,MATCH(D298,'05_副属性基础'!$G$2:$G$13,0))</f>
        <v/>
      </c>
      <c r="H298" s="3">
        <f>INDEX('02_品质等级'!$G$2:$G$6,MATCH(C298,'02_品质等级'!$A$2:$A$6,0))</f>
        <v/>
      </c>
      <c r="I298" s="3">
        <f>INDEX('02_品质等级'!$H$2:$H$6,MATCH(C298,'02_品质等级'!$A$2:$A$6,0))</f>
        <v/>
      </c>
      <c r="J298" s="3">
        <f>E298*F298*G298*H298</f>
        <v/>
      </c>
      <c r="K298" s="3">
        <f>E298*F298*G298*I298</f>
        <v/>
      </c>
    </row>
    <row r="299">
      <c r="A299" s="2" t="inlineStr">
        <is>
          <t>防御</t>
        </is>
      </c>
      <c r="B299" s="2" t="inlineStr">
        <is>
          <t>固定值</t>
        </is>
      </c>
      <c r="C299" s="2" t="inlineStr">
        <is>
          <t>红</t>
        </is>
      </c>
      <c r="D299" s="2" t="n">
        <v>50</v>
      </c>
      <c r="E299" s="3">
        <f>INDEX('05_副属性基础'!$C$2:$C$11,MATCH(A299,'05_副属性基础'!$A$2:$A$11,0))</f>
        <v/>
      </c>
      <c r="F299" s="3">
        <f>INDEX('02_品质等级'!$D$2:$D$6,MATCH(C299,'02_品质等级'!$A$2:$A$6,0))</f>
        <v/>
      </c>
      <c r="G299" s="3">
        <f>INDEX('05_副属性基础'!$I$2:$I$13,MATCH(D299,'05_副属性基础'!$G$2:$G$13,0))</f>
        <v/>
      </c>
      <c r="H299" s="3">
        <f>INDEX('02_品质等级'!$G$2:$G$6,MATCH(C299,'02_品质等级'!$A$2:$A$6,0))</f>
        <v/>
      </c>
      <c r="I299" s="3">
        <f>INDEX('02_品质等级'!$H$2:$H$6,MATCH(C299,'02_品质等级'!$A$2:$A$6,0))</f>
        <v/>
      </c>
      <c r="J299" s="3">
        <f>E299*F299*G299*H299</f>
        <v/>
      </c>
      <c r="K299" s="3">
        <f>E299*F299*G299*I299</f>
        <v/>
      </c>
    </row>
    <row r="300">
      <c r="A300" s="2" t="inlineStr">
        <is>
          <t>防御</t>
        </is>
      </c>
      <c r="B300" s="2" t="inlineStr">
        <is>
          <t>固定值</t>
        </is>
      </c>
      <c r="C300" s="2" t="inlineStr">
        <is>
          <t>红</t>
        </is>
      </c>
      <c r="D300" s="2" t="n">
        <v>55</v>
      </c>
      <c r="E300" s="3">
        <f>INDEX('05_副属性基础'!$C$2:$C$11,MATCH(A300,'05_副属性基础'!$A$2:$A$11,0))</f>
        <v/>
      </c>
      <c r="F300" s="3">
        <f>INDEX('02_品质等级'!$D$2:$D$6,MATCH(C300,'02_品质等级'!$A$2:$A$6,0))</f>
        <v/>
      </c>
      <c r="G300" s="3">
        <f>INDEX('05_副属性基础'!$I$2:$I$13,MATCH(D300,'05_副属性基础'!$G$2:$G$13,0))</f>
        <v/>
      </c>
      <c r="H300" s="3">
        <f>INDEX('02_品质等级'!$G$2:$G$6,MATCH(C300,'02_品质等级'!$A$2:$A$6,0))</f>
        <v/>
      </c>
      <c r="I300" s="3">
        <f>INDEX('02_品质等级'!$H$2:$H$6,MATCH(C300,'02_品质等级'!$A$2:$A$6,0))</f>
        <v/>
      </c>
      <c r="J300" s="3">
        <f>E300*F300*G300*H300</f>
        <v/>
      </c>
      <c r="K300" s="3">
        <f>E300*F300*G300*I300</f>
        <v/>
      </c>
    </row>
    <row r="301">
      <c r="A301" s="2" t="inlineStr">
        <is>
          <t>防御</t>
        </is>
      </c>
      <c r="B301" s="2" t="inlineStr">
        <is>
          <t>固定值</t>
        </is>
      </c>
      <c r="C301" s="2" t="inlineStr">
        <is>
          <t>红</t>
        </is>
      </c>
      <c r="D301" s="2" t="n">
        <v>60</v>
      </c>
      <c r="E301" s="3">
        <f>INDEX('05_副属性基础'!$C$2:$C$11,MATCH(A301,'05_副属性基础'!$A$2:$A$11,0))</f>
        <v/>
      </c>
      <c r="F301" s="3">
        <f>INDEX('02_品质等级'!$D$2:$D$6,MATCH(C301,'02_品质等级'!$A$2:$A$6,0))</f>
        <v/>
      </c>
      <c r="G301" s="3">
        <f>INDEX('05_副属性基础'!$I$2:$I$13,MATCH(D301,'05_副属性基础'!$G$2:$G$13,0))</f>
        <v/>
      </c>
      <c r="H301" s="3">
        <f>INDEX('02_品质等级'!$G$2:$G$6,MATCH(C301,'02_品质等级'!$A$2:$A$6,0))</f>
        <v/>
      </c>
      <c r="I301" s="3">
        <f>INDEX('02_品质等级'!$H$2:$H$6,MATCH(C301,'02_品质等级'!$A$2:$A$6,0))</f>
        <v/>
      </c>
      <c r="J301" s="3">
        <f>E301*F301*G301*H301</f>
        <v/>
      </c>
      <c r="K301" s="3">
        <f>E301*F301*G301*I301</f>
        <v/>
      </c>
    </row>
    <row r="302">
      <c r="A302" s="2" t="inlineStr">
        <is>
          <t>生命</t>
        </is>
      </c>
      <c r="B302" s="2" t="inlineStr">
        <is>
          <t>固定值</t>
        </is>
      </c>
      <c r="C302" s="2" t="inlineStr">
        <is>
          <t>绿</t>
        </is>
      </c>
      <c r="D302" s="2" t="n">
        <v>5</v>
      </c>
      <c r="E302" s="3">
        <f>INDEX('05_副属性基础'!$C$2:$C$11,MATCH(A302,'05_副属性基础'!$A$2:$A$11,0))</f>
        <v/>
      </c>
      <c r="F302" s="3">
        <f>INDEX('02_品质等级'!$D$2:$D$6,MATCH(C302,'02_品质等级'!$A$2:$A$6,0))</f>
        <v/>
      </c>
      <c r="G302" s="3">
        <f>INDEX('05_副属性基础'!$I$2:$I$13,MATCH(D302,'05_副属性基础'!$G$2:$G$13,0))</f>
        <v/>
      </c>
      <c r="H302" s="3">
        <f>INDEX('02_品质等级'!$G$2:$G$6,MATCH(C302,'02_品质等级'!$A$2:$A$6,0))</f>
        <v/>
      </c>
      <c r="I302" s="3">
        <f>INDEX('02_品质等级'!$H$2:$H$6,MATCH(C302,'02_品质等级'!$A$2:$A$6,0))</f>
        <v/>
      </c>
      <c r="J302" s="3">
        <f>E302*F302*G302*H302</f>
        <v/>
      </c>
      <c r="K302" s="3">
        <f>E302*F302*G302*I302</f>
        <v/>
      </c>
    </row>
    <row r="303">
      <c r="A303" s="2" t="inlineStr">
        <is>
          <t>生命</t>
        </is>
      </c>
      <c r="B303" s="2" t="inlineStr">
        <is>
          <t>固定值</t>
        </is>
      </c>
      <c r="C303" s="2" t="inlineStr">
        <is>
          <t>绿</t>
        </is>
      </c>
      <c r="D303" s="2" t="n">
        <v>10</v>
      </c>
      <c r="E303" s="3">
        <f>INDEX('05_副属性基础'!$C$2:$C$11,MATCH(A303,'05_副属性基础'!$A$2:$A$11,0))</f>
        <v/>
      </c>
      <c r="F303" s="3">
        <f>INDEX('02_品质等级'!$D$2:$D$6,MATCH(C303,'02_品质等级'!$A$2:$A$6,0))</f>
        <v/>
      </c>
      <c r="G303" s="3">
        <f>INDEX('05_副属性基础'!$I$2:$I$13,MATCH(D303,'05_副属性基础'!$G$2:$G$13,0))</f>
        <v/>
      </c>
      <c r="H303" s="3">
        <f>INDEX('02_品质等级'!$G$2:$G$6,MATCH(C303,'02_品质等级'!$A$2:$A$6,0))</f>
        <v/>
      </c>
      <c r="I303" s="3">
        <f>INDEX('02_品质等级'!$H$2:$H$6,MATCH(C303,'02_品质等级'!$A$2:$A$6,0))</f>
        <v/>
      </c>
      <c r="J303" s="3">
        <f>E303*F303*G303*H303</f>
        <v/>
      </c>
      <c r="K303" s="3">
        <f>E303*F303*G303*I303</f>
        <v/>
      </c>
    </row>
    <row r="304">
      <c r="A304" s="2" t="inlineStr">
        <is>
          <t>生命</t>
        </is>
      </c>
      <c r="B304" s="2" t="inlineStr">
        <is>
          <t>固定值</t>
        </is>
      </c>
      <c r="C304" s="2" t="inlineStr">
        <is>
          <t>绿</t>
        </is>
      </c>
      <c r="D304" s="2" t="n">
        <v>15</v>
      </c>
      <c r="E304" s="3">
        <f>INDEX('05_副属性基础'!$C$2:$C$11,MATCH(A304,'05_副属性基础'!$A$2:$A$11,0))</f>
        <v/>
      </c>
      <c r="F304" s="3">
        <f>INDEX('02_品质等级'!$D$2:$D$6,MATCH(C304,'02_品质等级'!$A$2:$A$6,0))</f>
        <v/>
      </c>
      <c r="G304" s="3">
        <f>INDEX('05_副属性基础'!$I$2:$I$13,MATCH(D304,'05_副属性基础'!$G$2:$G$13,0))</f>
        <v/>
      </c>
      <c r="H304" s="3">
        <f>INDEX('02_品质等级'!$G$2:$G$6,MATCH(C304,'02_品质等级'!$A$2:$A$6,0))</f>
        <v/>
      </c>
      <c r="I304" s="3">
        <f>INDEX('02_品质等级'!$H$2:$H$6,MATCH(C304,'02_品质等级'!$A$2:$A$6,0))</f>
        <v/>
      </c>
      <c r="J304" s="3">
        <f>E304*F304*G304*H304</f>
        <v/>
      </c>
      <c r="K304" s="3">
        <f>E304*F304*G304*I304</f>
        <v/>
      </c>
    </row>
    <row r="305">
      <c r="A305" s="2" t="inlineStr">
        <is>
          <t>生命</t>
        </is>
      </c>
      <c r="B305" s="2" t="inlineStr">
        <is>
          <t>固定值</t>
        </is>
      </c>
      <c r="C305" s="2" t="inlineStr">
        <is>
          <t>绿</t>
        </is>
      </c>
      <c r="D305" s="2" t="n">
        <v>20</v>
      </c>
      <c r="E305" s="3">
        <f>INDEX('05_副属性基础'!$C$2:$C$11,MATCH(A305,'05_副属性基础'!$A$2:$A$11,0))</f>
        <v/>
      </c>
      <c r="F305" s="3">
        <f>INDEX('02_品质等级'!$D$2:$D$6,MATCH(C305,'02_品质等级'!$A$2:$A$6,0))</f>
        <v/>
      </c>
      <c r="G305" s="3">
        <f>INDEX('05_副属性基础'!$I$2:$I$13,MATCH(D305,'05_副属性基础'!$G$2:$G$13,0))</f>
        <v/>
      </c>
      <c r="H305" s="3">
        <f>INDEX('02_品质等级'!$G$2:$G$6,MATCH(C305,'02_品质等级'!$A$2:$A$6,0))</f>
        <v/>
      </c>
      <c r="I305" s="3">
        <f>INDEX('02_品质等级'!$H$2:$H$6,MATCH(C305,'02_品质等级'!$A$2:$A$6,0))</f>
        <v/>
      </c>
      <c r="J305" s="3">
        <f>E305*F305*G305*H305</f>
        <v/>
      </c>
      <c r="K305" s="3">
        <f>E305*F305*G305*I305</f>
        <v/>
      </c>
    </row>
    <row r="306">
      <c r="A306" s="2" t="inlineStr">
        <is>
          <t>生命</t>
        </is>
      </c>
      <c r="B306" s="2" t="inlineStr">
        <is>
          <t>固定值</t>
        </is>
      </c>
      <c r="C306" s="2" t="inlineStr">
        <is>
          <t>绿</t>
        </is>
      </c>
      <c r="D306" s="2" t="n">
        <v>25</v>
      </c>
      <c r="E306" s="3">
        <f>INDEX('05_副属性基础'!$C$2:$C$11,MATCH(A306,'05_副属性基础'!$A$2:$A$11,0))</f>
        <v/>
      </c>
      <c r="F306" s="3">
        <f>INDEX('02_品质等级'!$D$2:$D$6,MATCH(C306,'02_品质等级'!$A$2:$A$6,0))</f>
        <v/>
      </c>
      <c r="G306" s="3">
        <f>INDEX('05_副属性基础'!$I$2:$I$13,MATCH(D306,'05_副属性基础'!$G$2:$G$13,0))</f>
        <v/>
      </c>
      <c r="H306" s="3">
        <f>INDEX('02_品质等级'!$G$2:$G$6,MATCH(C306,'02_品质等级'!$A$2:$A$6,0))</f>
        <v/>
      </c>
      <c r="I306" s="3">
        <f>INDEX('02_品质等级'!$H$2:$H$6,MATCH(C306,'02_品质等级'!$A$2:$A$6,0))</f>
        <v/>
      </c>
      <c r="J306" s="3">
        <f>E306*F306*G306*H306</f>
        <v/>
      </c>
      <c r="K306" s="3">
        <f>E306*F306*G306*I306</f>
        <v/>
      </c>
    </row>
    <row r="307">
      <c r="A307" s="2" t="inlineStr">
        <is>
          <t>生命</t>
        </is>
      </c>
      <c r="B307" s="2" t="inlineStr">
        <is>
          <t>固定值</t>
        </is>
      </c>
      <c r="C307" s="2" t="inlineStr">
        <is>
          <t>绿</t>
        </is>
      </c>
      <c r="D307" s="2" t="n">
        <v>30</v>
      </c>
      <c r="E307" s="3">
        <f>INDEX('05_副属性基础'!$C$2:$C$11,MATCH(A307,'05_副属性基础'!$A$2:$A$11,0))</f>
        <v/>
      </c>
      <c r="F307" s="3">
        <f>INDEX('02_品质等级'!$D$2:$D$6,MATCH(C307,'02_品质等级'!$A$2:$A$6,0))</f>
        <v/>
      </c>
      <c r="G307" s="3">
        <f>INDEX('05_副属性基础'!$I$2:$I$13,MATCH(D307,'05_副属性基础'!$G$2:$G$13,0))</f>
        <v/>
      </c>
      <c r="H307" s="3">
        <f>INDEX('02_品质等级'!$G$2:$G$6,MATCH(C307,'02_品质等级'!$A$2:$A$6,0))</f>
        <v/>
      </c>
      <c r="I307" s="3">
        <f>INDEX('02_品质等级'!$H$2:$H$6,MATCH(C307,'02_品质等级'!$A$2:$A$6,0))</f>
        <v/>
      </c>
      <c r="J307" s="3">
        <f>E307*F307*G307*H307</f>
        <v/>
      </c>
      <c r="K307" s="3">
        <f>E307*F307*G307*I307</f>
        <v/>
      </c>
    </row>
    <row r="308">
      <c r="A308" s="2" t="inlineStr">
        <is>
          <t>生命</t>
        </is>
      </c>
      <c r="B308" s="2" t="inlineStr">
        <is>
          <t>固定值</t>
        </is>
      </c>
      <c r="C308" s="2" t="inlineStr">
        <is>
          <t>绿</t>
        </is>
      </c>
      <c r="D308" s="2" t="n">
        <v>35</v>
      </c>
      <c r="E308" s="3">
        <f>INDEX('05_副属性基础'!$C$2:$C$11,MATCH(A308,'05_副属性基础'!$A$2:$A$11,0))</f>
        <v/>
      </c>
      <c r="F308" s="3">
        <f>INDEX('02_品质等级'!$D$2:$D$6,MATCH(C308,'02_品质等级'!$A$2:$A$6,0))</f>
        <v/>
      </c>
      <c r="G308" s="3">
        <f>INDEX('05_副属性基础'!$I$2:$I$13,MATCH(D308,'05_副属性基础'!$G$2:$G$13,0))</f>
        <v/>
      </c>
      <c r="H308" s="3">
        <f>INDEX('02_品质等级'!$G$2:$G$6,MATCH(C308,'02_品质等级'!$A$2:$A$6,0))</f>
        <v/>
      </c>
      <c r="I308" s="3">
        <f>INDEX('02_品质等级'!$H$2:$H$6,MATCH(C308,'02_品质等级'!$A$2:$A$6,0))</f>
        <v/>
      </c>
      <c r="J308" s="3">
        <f>E308*F308*G308*H308</f>
        <v/>
      </c>
      <c r="K308" s="3">
        <f>E308*F308*G308*I308</f>
        <v/>
      </c>
    </row>
    <row r="309">
      <c r="A309" s="2" t="inlineStr">
        <is>
          <t>生命</t>
        </is>
      </c>
      <c r="B309" s="2" t="inlineStr">
        <is>
          <t>固定值</t>
        </is>
      </c>
      <c r="C309" s="2" t="inlineStr">
        <is>
          <t>绿</t>
        </is>
      </c>
      <c r="D309" s="2" t="n">
        <v>40</v>
      </c>
      <c r="E309" s="3">
        <f>INDEX('05_副属性基础'!$C$2:$C$11,MATCH(A309,'05_副属性基础'!$A$2:$A$11,0))</f>
        <v/>
      </c>
      <c r="F309" s="3">
        <f>INDEX('02_品质等级'!$D$2:$D$6,MATCH(C309,'02_品质等级'!$A$2:$A$6,0))</f>
        <v/>
      </c>
      <c r="G309" s="3">
        <f>INDEX('05_副属性基础'!$I$2:$I$13,MATCH(D309,'05_副属性基础'!$G$2:$G$13,0))</f>
        <v/>
      </c>
      <c r="H309" s="3">
        <f>INDEX('02_品质等级'!$G$2:$G$6,MATCH(C309,'02_品质等级'!$A$2:$A$6,0))</f>
        <v/>
      </c>
      <c r="I309" s="3">
        <f>INDEX('02_品质等级'!$H$2:$H$6,MATCH(C309,'02_品质等级'!$A$2:$A$6,0))</f>
        <v/>
      </c>
      <c r="J309" s="3">
        <f>E309*F309*G309*H309</f>
        <v/>
      </c>
      <c r="K309" s="3">
        <f>E309*F309*G309*I309</f>
        <v/>
      </c>
    </row>
    <row r="310">
      <c r="A310" s="2" t="inlineStr">
        <is>
          <t>生命</t>
        </is>
      </c>
      <c r="B310" s="2" t="inlineStr">
        <is>
          <t>固定值</t>
        </is>
      </c>
      <c r="C310" s="2" t="inlineStr">
        <is>
          <t>绿</t>
        </is>
      </c>
      <c r="D310" s="2" t="n">
        <v>45</v>
      </c>
      <c r="E310" s="3">
        <f>INDEX('05_副属性基础'!$C$2:$C$11,MATCH(A310,'05_副属性基础'!$A$2:$A$11,0))</f>
        <v/>
      </c>
      <c r="F310" s="3">
        <f>INDEX('02_品质等级'!$D$2:$D$6,MATCH(C310,'02_品质等级'!$A$2:$A$6,0))</f>
        <v/>
      </c>
      <c r="G310" s="3">
        <f>INDEX('05_副属性基础'!$I$2:$I$13,MATCH(D310,'05_副属性基础'!$G$2:$G$13,0))</f>
        <v/>
      </c>
      <c r="H310" s="3">
        <f>INDEX('02_品质等级'!$G$2:$G$6,MATCH(C310,'02_品质等级'!$A$2:$A$6,0))</f>
        <v/>
      </c>
      <c r="I310" s="3">
        <f>INDEX('02_品质等级'!$H$2:$H$6,MATCH(C310,'02_品质等级'!$A$2:$A$6,0))</f>
        <v/>
      </c>
      <c r="J310" s="3">
        <f>E310*F310*G310*H310</f>
        <v/>
      </c>
      <c r="K310" s="3">
        <f>E310*F310*G310*I310</f>
        <v/>
      </c>
    </row>
    <row r="311">
      <c r="A311" s="2" t="inlineStr">
        <is>
          <t>生命</t>
        </is>
      </c>
      <c r="B311" s="2" t="inlineStr">
        <is>
          <t>固定值</t>
        </is>
      </c>
      <c r="C311" s="2" t="inlineStr">
        <is>
          <t>绿</t>
        </is>
      </c>
      <c r="D311" s="2" t="n">
        <v>50</v>
      </c>
      <c r="E311" s="3">
        <f>INDEX('05_副属性基础'!$C$2:$C$11,MATCH(A311,'05_副属性基础'!$A$2:$A$11,0))</f>
        <v/>
      </c>
      <c r="F311" s="3">
        <f>INDEX('02_品质等级'!$D$2:$D$6,MATCH(C311,'02_品质等级'!$A$2:$A$6,0))</f>
        <v/>
      </c>
      <c r="G311" s="3">
        <f>INDEX('05_副属性基础'!$I$2:$I$13,MATCH(D311,'05_副属性基础'!$G$2:$G$13,0))</f>
        <v/>
      </c>
      <c r="H311" s="3">
        <f>INDEX('02_品质等级'!$G$2:$G$6,MATCH(C311,'02_品质等级'!$A$2:$A$6,0))</f>
        <v/>
      </c>
      <c r="I311" s="3">
        <f>INDEX('02_品质等级'!$H$2:$H$6,MATCH(C311,'02_品质等级'!$A$2:$A$6,0))</f>
        <v/>
      </c>
      <c r="J311" s="3">
        <f>E311*F311*G311*H311</f>
        <v/>
      </c>
      <c r="K311" s="3">
        <f>E311*F311*G311*I311</f>
        <v/>
      </c>
    </row>
    <row r="312">
      <c r="A312" s="2" t="inlineStr">
        <is>
          <t>生命</t>
        </is>
      </c>
      <c r="B312" s="2" t="inlineStr">
        <is>
          <t>固定值</t>
        </is>
      </c>
      <c r="C312" s="2" t="inlineStr">
        <is>
          <t>绿</t>
        </is>
      </c>
      <c r="D312" s="2" t="n">
        <v>55</v>
      </c>
      <c r="E312" s="3">
        <f>INDEX('05_副属性基础'!$C$2:$C$11,MATCH(A312,'05_副属性基础'!$A$2:$A$11,0))</f>
        <v/>
      </c>
      <c r="F312" s="3">
        <f>INDEX('02_品质等级'!$D$2:$D$6,MATCH(C312,'02_品质等级'!$A$2:$A$6,0))</f>
        <v/>
      </c>
      <c r="G312" s="3">
        <f>INDEX('05_副属性基础'!$I$2:$I$13,MATCH(D312,'05_副属性基础'!$G$2:$G$13,0))</f>
        <v/>
      </c>
      <c r="H312" s="3">
        <f>INDEX('02_品质等级'!$G$2:$G$6,MATCH(C312,'02_品质等级'!$A$2:$A$6,0))</f>
        <v/>
      </c>
      <c r="I312" s="3">
        <f>INDEX('02_品质等级'!$H$2:$H$6,MATCH(C312,'02_品质等级'!$A$2:$A$6,0))</f>
        <v/>
      </c>
      <c r="J312" s="3">
        <f>E312*F312*G312*H312</f>
        <v/>
      </c>
      <c r="K312" s="3">
        <f>E312*F312*G312*I312</f>
        <v/>
      </c>
    </row>
    <row r="313">
      <c r="A313" s="2" t="inlineStr">
        <is>
          <t>生命</t>
        </is>
      </c>
      <c r="B313" s="2" t="inlineStr">
        <is>
          <t>固定值</t>
        </is>
      </c>
      <c r="C313" s="2" t="inlineStr">
        <is>
          <t>绿</t>
        </is>
      </c>
      <c r="D313" s="2" t="n">
        <v>60</v>
      </c>
      <c r="E313" s="3">
        <f>INDEX('05_副属性基础'!$C$2:$C$11,MATCH(A313,'05_副属性基础'!$A$2:$A$11,0))</f>
        <v/>
      </c>
      <c r="F313" s="3">
        <f>INDEX('02_品质等级'!$D$2:$D$6,MATCH(C313,'02_品质等级'!$A$2:$A$6,0))</f>
        <v/>
      </c>
      <c r="G313" s="3">
        <f>INDEX('05_副属性基础'!$I$2:$I$13,MATCH(D313,'05_副属性基础'!$G$2:$G$13,0))</f>
        <v/>
      </c>
      <c r="H313" s="3">
        <f>INDEX('02_品质等级'!$G$2:$G$6,MATCH(C313,'02_品质等级'!$A$2:$A$6,0))</f>
        <v/>
      </c>
      <c r="I313" s="3">
        <f>INDEX('02_品质等级'!$H$2:$H$6,MATCH(C313,'02_品质等级'!$A$2:$A$6,0))</f>
        <v/>
      </c>
      <c r="J313" s="3">
        <f>E313*F313*G313*H313</f>
        <v/>
      </c>
      <c r="K313" s="3">
        <f>E313*F313*G313*I313</f>
        <v/>
      </c>
    </row>
    <row r="314">
      <c r="A314" s="2" t="inlineStr">
        <is>
          <t>生命</t>
        </is>
      </c>
      <c r="B314" s="2" t="inlineStr">
        <is>
          <t>固定值</t>
        </is>
      </c>
      <c r="C314" s="2" t="inlineStr">
        <is>
          <t>蓝</t>
        </is>
      </c>
      <c r="D314" s="2" t="n">
        <v>5</v>
      </c>
      <c r="E314" s="3">
        <f>INDEX('05_副属性基础'!$C$2:$C$11,MATCH(A314,'05_副属性基础'!$A$2:$A$11,0))</f>
        <v/>
      </c>
      <c r="F314" s="3">
        <f>INDEX('02_品质等级'!$D$2:$D$6,MATCH(C314,'02_品质等级'!$A$2:$A$6,0))</f>
        <v/>
      </c>
      <c r="G314" s="3">
        <f>INDEX('05_副属性基础'!$I$2:$I$13,MATCH(D314,'05_副属性基础'!$G$2:$G$13,0))</f>
        <v/>
      </c>
      <c r="H314" s="3">
        <f>INDEX('02_品质等级'!$G$2:$G$6,MATCH(C314,'02_品质等级'!$A$2:$A$6,0))</f>
        <v/>
      </c>
      <c r="I314" s="3">
        <f>INDEX('02_品质等级'!$H$2:$H$6,MATCH(C314,'02_品质等级'!$A$2:$A$6,0))</f>
        <v/>
      </c>
      <c r="J314" s="3">
        <f>E314*F314*G314*H314</f>
        <v/>
      </c>
      <c r="K314" s="3">
        <f>E314*F314*G314*I314</f>
        <v/>
      </c>
    </row>
    <row r="315">
      <c r="A315" s="2" t="inlineStr">
        <is>
          <t>生命</t>
        </is>
      </c>
      <c r="B315" s="2" t="inlineStr">
        <is>
          <t>固定值</t>
        </is>
      </c>
      <c r="C315" s="2" t="inlineStr">
        <is>
          <t>蓝</t>
        </is>
      </c>
      <c r="D315" s="2" t="n">
        <v>10</v>
      </c>
      <c r="E315" s="3">
        <f>INDEX('05_副属性基础'!$C$2:$C$11,MATCH(A315,'05_副属性基础'!$A$2:$A$11,0))</f>
        <v/>
      </c>
      <c r="F315" s="3">
        <f>INDEX('02_品质等级'!$D$2:$D$6,MATCH(C315,'02_品质等级'!$A$2:$A$6,0))</f>
        <v/>
      </c>
      <c r="G315" s="3">
        <f>INDEX('05_副属性基础'!$I$2:$I$13,MATCH(D315,'05_副属性基础'!$G$2:$G$13,0))</f>
        <v/>
      </c>
      <c r="H315" s="3">
        <f>INDEX('02_品质等级'!$G$2:$G$6,MATCH(C315,'02_品质等级'!$A$2:$A$6,0))</f>
        <v/>
      </c>
      <c r="I315" s="3">
        <f>INDEX('02_品质等级'!$H$2:$H$6,MATCH(C315,'02_品质等级'!$A$2:$A$6,0))</f>
        <v/>
      </c>
      <c r="J315" s="3">
        <f>E315*F315*G315*H315</f>
        <v/>
      </c>
      <c r="K315" s="3">
        <f>E315*F315*G315*I315</f>
        <v/>
      </c>
    </row>
    <row r="316">
      <c r="A316" s="2" t="inlineStr">
        <is>
          <t>生命</t>
        </is>
      </c>
      <c r="B316" s="2" t="inlineStr">
        <is>
          <t>固定值</t>
        </is>
      </c>
      <c r="C316" s="2" t="inlineStr">
        <is>
          <t>蓝</t>
        </is>
      </c>
      <c r="D316" s="2" t="n">
        <v>15</v>
      </c>
      <c r="E316" s="3">
        <f>INDEX('05_副属性基础'!$C$2:$C$11,MATCH(A316,'05_副属性基础'!$A$2:$A$11,0))</f>
        <v/>
      </c>
      <c r="F316" s="3">
        <f>INDEX('02_品质等级'!$D$2:$D$6,MATCH(C316,'02_品质等级'!$A$2:$A$6,0))</f>
        <v/>
      </c>
      <c r="G316" s="3">
        <f>INDEX('05_副属性基础'!$I$2:$I$13,MATCH(D316,'05_副属性基础'!$G$2:$G$13,0))</f>
        <v/>
      </c>
      <c r="H316" s="3">
        <f>INDEX('02_品质等级'!$G$2:$G$6,MATCH(C316,'02_品质等级'!$A$2:$A$6,0))</f>
        <v/>
      </c>
      <c r="I316" s="3">
        <f>INDEX('02_品质等级'!$H$2:$H$6,MATCH(C316,'02_品质等级'!$A$2:$A$6,0))</f>
        <v/>
      </c>
      <c r="J316" s="3">
        <f>E316*F316*G316*H316</f>
        <v/>
      </c>
      <c r="K316" s="3">
        <f>E316*F316*G316*I316</f>
        <v/>
      </c>
    </row>
    <row r="317">
      <c r="A317" s="2" t="inlineStr">
        <is>
          <t>生命</t>
        </is>
      </c>
      <c r="B317" s="2" t="inlineStr">
        <is>
          <t>固定值</t>
        </is>
      </c>
      <c r="C317" s="2" t="inlineStr">
        <is>
          <t>蓝</t>
        </is>
      </c>
      <c r="D317" s="2" t="n">
        <v>20</v>
      </c>
      <c r="E317" s="3">
        <f>INDEX('05_副属性基础'!$C$2:$C$11,MATCH(A317,'05_副属性基础'!$A$2:$A$11,0))</f>
        <v/>
      </c>
      <c r="F317" s="3">
        <f>INDEX('02_品质等级'!$D$2:$D$6,MATCH(C317,'02_品质等级'!$A$2:$A$6,0))</f>
        <v/>
      </c>
      <c r="G317" s="3">
        <f>INDEX('05_副属性基础'!$I$2:$I$13,MATCH(D317,'05_副属性基础'!$G$2:$G$13,0))</f>
        <v/>
      </c>
      <c r="H317" s="3">
        <f>INDEX('02_品质等级'!$G$2:$G$6,MATCH(C317,'02_品质等级'!$A$2:$A$6,0))</f>
        <v/>
      </c>
      <c r="I317" s="3">
        <f>INDEX('02_品质等级'!$H$2:$H$6,MATCH(C317,'02_品质等级'!$A$2:$A$6,0))</f>
        <v/>
      </c>
      <c r="J317" s="3">
        <f>E317*F317*G317*H317</f>
        <v/>
      </c>
      <c r="K317" s="3">
        <f>E317*F317*G317*I317</f>
        <v/>
      </c>
    </row>
    <row r="318">
      <c r="A318" s="2" t="inlineStr">
        <is>
          <t>生命</t>
        </is>
      </c>
      <c r="B318" s="2" t="inlineStr">
        <is>
          <t>固定值</t>
        </is>
      </c>
      <c r="C318" s="2" t="inlineStr">
        <is>
          <t>蓝</t>
        </is>
      </c>
      <c r="D318" s="2" t="n">
        <v>25</v>
      </c>
      <c r="E318" s="3">
        <f>INDEX('05_副属性基础'!$C$2:$C$11,MATCH(A318,'05_副属性基础'!$A$2:$A$11,0))</f>
        <v/>
      </c>
      <c r="F318" s="3">
        <f>INDEX('02_品质等级'!$D$2:$D$6,MATCH(C318,'02_品质等级'!$A$2:$A$6,0))</f>
        <v/>
      </c>
      <c r="G318" s="3">
        <f>INDEX('05_副属性基础'!$I$2:$I$13,MATCH(D318,'05_副属性基础'!$G$2:$G$13,0))</f>
        <v/>
      </c>
      <c r="H318" s="3">
        <f>INDEX('02_品质等级'!$G$2:$G$6,MATCH(C318,'02_品质等级'!$A$2:$A$6,0))</f>
        <v/>
      </c>
      <c r="I318" s="3">
        <f>INDEX('02_品质等级'!$H$2:$H$6,MATCH(C318,'02_品质等级'!$A$2:$A$6,0))</f>
        <v/>
      </c>
      <c r="J318" s="3">
        <f>E318*F318*G318*H318</f>
        <v/>
      </c>
      <c r="K318" s="3">
        <f>E318*F318*G318*I318</f>
        <v/>
      </c>
    </row>
    <row r="319">
      <c r="A319" s="2" t="inlineStr">
        <is>
          <t>生命</t>
        </is>
      </c>
      <c r="B319" s="2" t="inlineStr">
        <is>
          <t>固定值</t>
        </is>
      </c>
      <c r="C319" s="2" t="inlineStr">
        <is>
          <t>蓝</t>
        </is>
      </c>
      <c r="D319" s="2" t="n">
        <v>30</v>
      </c>
      <c r="E319" s="3">
        <f>INDEX('05_副属性基础'!$C$2:$C$11,MATCH(A319,'05_副属性基础'!$A$2:$A$11,0))</f>
        <v/>
      </c>
      <c r="F319" s="3">
        <f>INDEX('02_品质等级'!$D$2:$D$6,MATCH(C319,'02_品质等级'!$A$2:$A$6,0))</f>
        <v/>
      </c>
      <c r="G319" s="3">
        <f>INDEX('05_副属性基础'!$I$2:$I$13,MATCH(D319,'05_副属性基础'!$G$2:$G$13,0))</f>
        <v/>
      </c>
      <c r="H319" s="3">
        <f>INDEX('02_品质等级'!$G$2:$G$6,MATCH(C319,'02_品质等级'!$A$2:$A$6,0))</f>
        <v/>
      </c>
      <c r="I319" s="3">
        <f>INDEX('02_品质等级'!$H$2:$H$6,MATCH(C319,'02_品质等级'!$A$2:$A$6,0))</f>
        <v/>
      </c>
      <c r="J319" s="3">
        <f>E319*F319*G319*H319</f>
        <v/>
      </c>
      <c r="K319" s="3">
        <f>E319*F319*G319*I319</f>
        <v/>
      </c>
    </row>
    <row r="320">
      <c r="A320" s="2" t="inlineStr">
        <is>
          <t>生命</t>
        </is>
      </c>
      <c r="B320" s="2" t="inlineStr">
        <is>
          <t>固定值</t>
        </is>
      </c>
      <c r="C320" s="2" t="inlineStr">
        <is>
          <t>蓝</t>
        </is>
      </c>
      <c r="D320" s="2" t="n">
        <v>35</v>
      </c>
      <c r="E320" s="3">
        <f>INDEX('05_副属性基础'!$C$2:$C$11,MATCH(A320,'05_副属性基础'!$A$2:$A$11,0))</f>
        <v/>
      </c>
      <c r="F320" s="3">
        <f>INDEX('02_品质等级'!$D$2:$D$6,MATCH(C320,'02_品质等级'!$A$2:$A$6,0))</f>
        <v/>
      </c>
      <c r="G320" s="3">
        <f>INDEX('05_副属性基础'!$I$2:$I$13,MATCH(D320,'05_副属性基础'!$G$2:$G$13,0))</f>
        <v/>
      </c>
      <c r="H320" s="3">
        <f>INDEX('02_品质等级'!$G$2:$G$6,MATCH(C320,'02_品质等级'!$A$2:$A$6,0))</f>
        <v/>
      </c>
      <c r="I320" s="3">
        <f>INDEX('02_品质等级'!$H$2:$H$6,MATCH(C320,'02_品质等级'!$A$2:$A$6,0))</f>
        <v/>
      </c>
      <c r="J320" s="3">
        <f>E320*F320*G320*H320</f>
        <v/>
      </c>
      <c r="K320" s="3">
        <f>E320*F320*G320*I320</f>
        <v/>
      </c>
    </row>
    <row r="321">
      <c r="A321" s="2" t="inlineStr">
        <is>
          <t>生命</t>
        </is>
      </c>
      <c r="B321" s="2" t="inlineStr">
        <is>
          <t>固定值</t>
        </is>
      </c>
      <c r="C321" s="2" t="inlineStr">
        <is>
          <t>蓝</t>
        </is>
      </c>
      <c r="D321" s="2" t="n">
        <v>40</v>
      </c>
      <c r="E321" s="3">
        <f>INDEX('05_副属性基础'!$C$2:$C$11,MATCH(A321,'05_副属性基础'!$A$2:$A$11,0))</f>
        <v/>
      </c>
      <c r="F321" s="3">
        <f>INDEX('02_品质等级'!$D$2:$D$6,MATCH(C321,'02_品质等级'!$A$2:$A$6,0))</f>
        <v/>
      </c>
      <c r="G321" s="3">
        <f>INDEX('05_副属性基础'!$I$2:$I$13,MATCH(D321,'05_副属性基础'!$G$2:$G$13,0))</f>
        <v/>
      </c>
      <c r="H321" s="3">
        <f>INDEX('02_品质等级'!$G$2:$G$6,MATCH(C321,'02_品质等级'!$A$2:$A$6,0))</f>
        <v/>
      </c>
      <c r="I321" s="3">
        <f>INDEX('02_品质等级'!$H$2:$H$6,MATCH(C321,'02_品质等级'!$A$2:$A$6,0))</f>
        <v/>
      </c>
      <c r="J321" s="3">
        <f>E321*F321*G321*H321</f>
        <v/>
      </c>
      <c r="K321" s="3">
        <f>E321*F321*G321*I321</f>
        <v/>
      </c>
    </row>
    <row r="322">
      <c r="A322" s="2" t="inlineStr">
        <is>
          <t>生命</t>
        </is>
      </c>
      <c r="B322" s="2" t="inlineStr">
        <is>
          <t>固定值</t>
        </is>
      </c>
      <c r="C322" s="2" t="inlineStr">
        <is>
          <t>蓝</t>
        </is>
      </c>
      <c r="D322" s="2" t="n">
        <v>45</v>
      </c>
      <c r="E322" s="3">
        <f>INDEX('05_副属性基础'!$C$2:$C$11,MATCH(A322,'05_副属性基础'!$A$2:$A$11,0))</f>
        <v/>
      </c>
      <c r="F322" s="3">
        <f>INDEX('02_品质等级'!$D$2:$D$6,MATCH(C322,'02_品质等级'!$A$2:$A$6,0))</f>
        <v/>
      </c>
      <c r="G322" s="3">
        <f>INDEX('05_副属性基础'!$I$2:$I$13,MATCH(D322,'05_副属性基础'!$G$2:$G$13,0))</f>
        <v/>
      </c>
      <c r="H322" s="3">
        <f>INDEX('02_品质等级'!$G$2:$G$6,MATCH(C322,'02_品质等级'!$A$2:$A$6,0))</f>
        <v/>
      </c>
      <c r="I322" s="3">
        <f>INDEX('02_品质等级'!$H$2:$H$6,MATCH(C322,'02_品质等级'!$A$2:$A$6,0))</f>
        <v/>
      </c>
      <c r="J322" s="3">
        <f>E322*F322*G322*H322</f>
        <v/>
      </c>
      <c r="K322" s="3">
        <f>E322*F322*G322*I322</f>
        <v/>
      </c>
    </row>
    <row r="323">
      <c r="A323" s="2" t="inlineStr">
        <is>
          <t>生命</t>
        </is>
      </c>
      <c r="B323" s="2" t="inlineStr">
        <is>
          <t>固定值</t>
        </is>
      </c>
      <c r="C323" s="2" t="inlineStr">
        <is>
          <t>蓝</t>
        </is>
      </c>
      <c r="D323" s="2" t="n">
        <v>50</v>
      </c>
      <c r="E323" s="3">
        <f>INDEX('05_副属性基础'!$C$2:$C$11,MATCH(A323,'05_副属性基础'!$A$2:$A$11,0))</f>
        <v/>
      </c>
      <c r="F323" s="3">
        <f>INDEX('02_品质等级'!$D$2:$D$6,MATCH(C323,'02_品质等级'!$A$2:$A$6,0))</f>
        <v/>
      </c>
      <c r="G323" s="3">
        <f>INDEX('05_副属性基础'!$I$2:$I$13,MATCH(D323,'05_副属性基础'!$G$2:$G$13,0))</f>
        <v/>
      </c>
      <c r="H323" s="3">
        <f>INDEX('02_品质等级'!$G$2:$G$6,MATCH(C323,'02_品质等级'!$A$2:$A$6,0))</f>
        <v/>
      </c>
      <c r="I323" s="3">
        <f>INDEX('02_品质等级'!$H$2:$H$6,MATCH(C323,'02_品质等级'!$A$2:$A$6,0))</f>
        <v/>
      </c>
      <c r="J323" s="3">
        <f>E323*F323*G323*H323</f>
        <v/>
      </c>
      <c r="K323" s="3">
        <f>E323*F323*G323*I323</f>
        <v/>
      </c>
    </row>
    <row r="324">
      <c r="A324" s="2" t="inlineStr">
        <is>
          <t>生命</t>
        </is>
      </c>
      <c r="B324" s="2" t="inlineStr">
        <is>
          <t>固定值</t>
        </is>
      </c>
      <c r="C324" s="2" t="inlineStr">
        <is>
          <t>蓝</t>
        </is>
      </c>
      <c r="D324" s="2" t="n">
        <v>55</v>
      </c>
      <c r="E324" s="3">
        <f>INDEX('05_副属性基础'!$C$2:$C$11,MATCH(A324,'05_副属性基础'!$A$2:$A$11,0))</f>
        <v/>
      </c>
      <c r="F324" s="3">
        <f>INDEX('02_品质等级'!$D$2:$D$6,MATCH(C324,'02_品质等级'!$A$2:$A$6,0))</f>
        <v/>
      </c>
      <c r="G324" s="3">
        <f>INDEX('05_副属性基础'!$I$2:$I$13,MATCH(D324,'05_副属性基础'!$G$2:$G$13,0))</f>
        <v/>
      </c>
      <c r="H324" s="3">
        <f>INDEX('02_品质等级'!$G$2:$G$6,MATCH(C324,'02_品质等级'!$A$2:$A$6,0))</f>
        <v/>
      </c>
      <c r="I324" s="3">
        <f>INDEX('02_品质等级'!$H$2:$H$6,MATCH(C324,'02_品质等级'!$A$2:$A$6,0))</f>
        <v/>
      </c>
      <c r="J324" s="3">
        <f>E324*F324*G324*H324</f>
        <v/>
      </c>
      <c r="K324" s="3">
        <f>E324*F324*G324*I324</f>
        <v/>
      </c>
    </row>
    <row r="325">
      <c r="A325" s="2" t="inlineStr">
        <is>
          <t>生命</t>
        </is>
      </c>
      <c r="B325" s="2" t="inlineStr">
        <is>
          <t>固定值</t>
        </is>
      </c>
      <c r="C325" s="2" t="inlineStr">
        <is>
          <t>蓝</t>
        </is>
      </c>
      <c r="D325" s="2" t="n">
        <v>60</v>
      </c>
      <c r="E325" s="3">
        <f>INDEX('05_副属性基础'!$C$2:$C$11,MATCH(A325,'05_副属性基础'!$A$2:$A$11,0))</f>
        <v/>
      </c>
      <c r="F325" s="3">
        <f>INDEX('02_品质等级'!$D$2:$D$6,MATCH(C325,'02_品质等级'!$A$2:$A$6,0))</f>
        <v/>
      </c>
      <c r="G325" s="3">
        <f>INDEX('05_副属性基础'!$I$2:$I$13,MATCH(D325,'05_副属性基础'!$G$2:$G$13,0))</f>
        <v/>
      </c>
      <c r="H325" s="3">
        <f>INDEX('02_品质等级'!$G$2:$G$6,MATCH(C325,'02_品质等级'!$A$2:$A$6,0))</f>
        <v/>
      </c>
      <c r="I325" s="3">
        <f>INDEX('02_品质等级'!$H$2:$H$6,MATCH(C325,'02_品质等级'!$A$2:$A$6,0))</f>
        <v/>
      </c>
      <c r="J325" s="3">
        <f>E325*F325*G325*H325</f>
        <v/>
      </c>
      <c r="K325" s="3">
        <f>E325*F325*G325*I325</f>
        <v/>
      </c>
    </row>
    <row r="326">
      <c r="A326" s="2" t="inlineStr">
        <is>
          <t>生命</t>
        </is>
      </c>
      <c r="B326" s="2" t="inlineStr">
        <is>
          <t>固定值</t>
        </is>
      </c>
      <c r="C326" s="2" t="inlineStr">
        <is>
          <t>紫</t>
        </is>
      </c>
      <c r="D326" s="2" t="n">
        <v>5</v>
      </c>
      <c r="E326" s="3">
        <f>INDEX('05_副属性基础'!$C$2:$C$11,MATCH(A326,'05_副属性基础'!$A$2:$A$11,0))</f>
        <v/>
      </c>
      <c r="F326" s="3">
        <f>INDEX('02_品质等级'!$D$2:$D$6,MATCH(C326,'02_品质等级'!$A$2:$A$6,0))</f>
        <v/>
      </c>
      <c r="G326" s="3">
        <f>INDEX('05_副属性基础'!$I$2:$I$13,MATCH(D326,'05_副属性基础'!$G$2:$G$13,0))</f>
        <v/>
      </c>
      <c r="H326" s="3">
        <f>INDEX('02_品质等级'!$G$2:$G$6,MATCH(C326,'02_品质等级'!$A$2:$A$6,0))</f>
        <v/>
      </c>
      <c r="I326" s="3">
        <f>INDEX('02_品质等级'!$H$2:$H$6,MATCH(C326,'02_品质等级'!$A$2:$A$6,0))</f>
        <v/>
      </c>
      <c r="J326" s="3">
        <f>E326*F326*G326*H326</f>
        <v/>
      </c>
      <c r="K326" s="3">
        <f>E326*F326*G326*I326</f>
        <v/>
      </c>
    </row>
    <row r="327">
      <c r="A327" s="2" t="inlineStr">
        <is>
          <t>生命</t>
        </is>
      </c>
      <c r="B327" s="2" t="inlineStr">
        <is>
          <t>固定值</t>
        </is>
      </c>
      <c r="C327" s="2" t="inlineStr">
        <is>
          <t>紫</t>
        </is>
      </c>
      <c r="D327" s="2" t="n">
        <v>10</v>
      </c>
      <c r="E327" s="3">
        <f>INDEX('05_副属性基础'!$C$2:$C$11,MATCH(A327,'05_副属性基础'!$A$2:$A$11,0))</f>
        <v/>
      </c>
      <c r="F327" s="3">
        <f>INDEX('02_品质等级'!$D$2:$D$6,MATCH(C327,'02_品质等级'!$A$2:$A$6,0))</f>
        <v/>
      </c>
      <c r="G327" s="3">
        <f>INDEX('05_副属性基础'!$I$2:$I$13,MATCH(D327,'05_副属性基础'!$G$2:$G$13,0))</f>
        <v/>
      </c>
      <c r="H327" s="3">
        <f>INDEX('02_品质等级'!$G$2:$G$6,MATCH(C327,'02_品质等级'!$A$2:$A$6,0))</f>
        <v/>
      </c>
      <c r="I327" s="3">
        <f>INDEX('02_品质等级'!$H$2:$H$6,MATCH(C327,'02_品质等级'!$A$2:$A$6,0))</f>
        <v/>
      </c>
      <c r="J327" s="3">
        <f>E327*F327*G327*H327</f>
        <v/>
      </c>
      <c r="K327" s="3">
        <f>E327*F327*G327*I327</f>
        <v/>
      </c>
    </row>
    <row r="328">
      <c r="A328" s="2" t="inlineStr">
        <is>
          <t>生命</t>
        </is>
      </c>
      <c r="B328" s="2" t="inlineStr">
        <is>
          <t>固定值</t>
        </is>
      </c>
      <c r="C328" s="2" t="inlineStr">
        <is>
          <t>紫</t>
        </is>
      </c>
      <c r="D328" s="2" t="n">
        <v>15</v>
      </c>
      <c r="E328" s="3">
        <f>INDEX('05_副属性基础'!$C$2:$C$11,MATCH(A328,'05_副属性基础'!$A$2:$A$11,0))</f>
        <v/>
      </c>
      <c r="F328" s="3">
        <f>INDEX('02_品质等级'!$D$2:$D$6,MATCH(C328,'02_品质等级'!$A$2:$A$6,0))</f>
        <v/>
      </c>
      <c r="G328" s="3">
        <f>INDEX('05_副属性基础'!$I$2:$I$13,MATCH(D328,'05_副属性基础'!$G$2:$G$13,0))</f>
        <v/>
      </c>
      <c r="H328" s="3">
        <f>INDEX('02_品质等级'!$G$2:$G$6,MATCH(C328,'02_品质等级'!$A$2:$A$6,0))</f>
        <v/>
      </c>
      <c r="I328" s="3">
        <f>INDEX('02_品质等级'!$H$2:$H$6,MATCH(C328,'02_品质等级'!$A$2:$A$6,0))</f>
        <v/>
      </c>
      <c r="J328" s="3">
        <f>E328*F328*G328*H328</f>
        <v/>
      </c>
      <c r="K328" s="3">
        <f>E328*F328*G328*I328</f>
        <v/>
      </c>
    </row>
    <row r="329">
      <c r="A329" s="2" t="inlineStr">
        <is>
          <t>生命</t>
        </is>
      </c>
      <c r="B329" s="2" t="inlineStr">
        <is>
          <t>固定值</t>
        </is>
      </c>
      <c r="C329" s="2" t="inlineStr">
        <is>
          <t>紫</t>
        </is>
      </c>
      <c r="D329" s="2" t="n">
        <v>20</v>
      </c>
      <c r="E329" s="3">
        <f>INDEX('05_副属性基础'!$C$2:$C$11,MATCH(A329,'05_副属性基础'!$A$2:$A$11,0))</f>
        <v/>
      </c>
      <c r="F329" s="3">
        <f>INDEX('02_品质等级'!$D$2:$D$6,MATCH(C329,'02_品质等级'!$A$2:$A$6,0))</f>
        <v/>
      </c>
      <c r="G329" s="3">
        <f>INDEX('05_副属性基础'!$I$2:$I$13,MATCH(D329,'05_副属性基础'!$G$2:$G$13,0))</f>
        <v/>
      </c>
      <c r="H329" s="3">
        <f>INDEX('02_品质等级'!$G$2:$G$6,MATCH(C329,'02_品质等级'!$A$2:$A$6,0))</f>
        <v/>
      </c>
      <c r="I329" s="3">
        <f>INDEX('02_品质等级'!$H$2:$H$6,MATCH(C329,'02_品质等级'!$A$2:$A$6,0))</f>
        <v/>
      </c>
      <c r="J329" s="3">
        <f>E329*F329*G329*H329</f>
        <v/>
      </c>
      <c r="K329" s="3">
        <f>E329*F329*G329*I329</f>
        <v/>
      </c>
    </row>
    <row r="330">
      <c r="A330" s="2" t="inlineStr">
        <is>
          <t>生命</t>
        </is>
      </c>
      <c r="B330" s="2" t="inlineStr">
        <is>
          <t>固定值</t>
        </is>
      </c>
      <c r="C330" s="2" t="inlineStr">
        <is>
          <t>紫</t>
        </is>
      </c>
      <c r="D330" s="2" t="n">
        <v>25</v>
      </c>
      <c r="E330" s="3">
        <f>INDEX('05_副属性基础'!$C$2:$C$11,MATCH(A330,'05_副属性基础'!$A$2:$A$11,0))</f>
        <v/>
      </c>
      <c r="F330" s="3">
        <f>INDEX('02_品质等级'!$D$2:$D$6,MATCH(C330,'02_品质等级'!$A$2:$A$6,0))</f>
        <v/>
      </c>
      <c r="G330" s="3">
        <f>INDEX('05_副属性基础'!$I$2:$I$13,MATCH(D330,'05_副属性基础'!$G$2:$G$13,0))</f>
        <v/>
      </c>
      <c r="H330" s="3">
        <f>INDEX('02_品质等级'!$G$2:$G$6,MATCH(C330,'02_品质等级'!$A$2:$A$6,0))</f>
        <v/>
      </c>
      <c r="I330" s="3">
        <f>INDEX('02_品质等级'!$H$2:$H$6,MATCH(C330,'02_品质等级'!$A$2:$A$6,0))</f>
        <v/>
      </c>
      <c r="J330" s="3">
        <f>E330*F330*G330*H330</f>
        <v/>
      </c>
      <c r="K330" s="3">
        <f>E330*F330*G330*I330</f>
        <v/>
      </c>
    </row>
    <row r="331">
      <c r="A331" s="2" t="inlineStr">
        <is>
          <t>生命</t>
        </is>
      </c>
      <c r="B331" s="2" t="inlineStr">
        <is>
          <t>固定值</t>
        </is>
      </c>
      <c r="C331" s="2" t="inlineStr">
        <is>
          <t>紫</t>
        </is>
      </c>
      <c r="D331" s="2" t="n">
        <v>30</v>
      </c>
      <c r="E331" s="3">
        <f>INDEX('05_副属性基础'!$C$2:$C$11,MATCH(A331,'05_副属性基础'!$A$2:$A$11,0))</f>
        <v/>
      </c>
      <c r="F331" s="3">
        <f>INDEX('02_品质等级'!$D$2:$D$6,MATCH(C331,'02_品质等级'!$A$2:$A$6,0))</f>
        <v/>
      </c>
      <c r="G331" s="3">
        <f>INDEX('05_副属性基础'!$I$2:$I$13,MATCH(D331,'05_副属性基础'!$G$2:$G$13,0))</f>
        <v/>
      </c>
      <c r="H331" s="3">
        <f>INDEX('02_品质等级'!$G$2:$G$6,MATCH(C331,'02_品质等级'!$A$2:$A$6,0))</f>
        <v/>
      </c>
      <c r="I331" s="3">
        <f>INDEX('02_品质等级'!$H$2:$H$6,MATCH(C331,'02_品质等级'!$A$2:$A$6,0))</f>
        <v/>
      </c>
      <c r="J331" s="3">
        <f>E331*F331*G331*H331</f>
        <v/>
      </c>
      <c r="K331" s="3">
        <f>E331*F331*G331*I331</f>
        <v/>
      </c>
    </row>
    <row r="332">
      <c r="A332" s="2" t="inlineStr">
        <is>
          <t>生命</t>
        </is>
      </c>
      <c r="B332" s="2" t="inlineStr">
        <is>
          <t>固定值</t>
        </is>
      </c>
      <c r="C332" s="2" t="inlineStr">
        <is>
          <t>紫</t>
        </is>
      </c>
      <c r="D332" s="2" t="n">
        <v>35</v>
      </c>
      <c r="E332" s="3">
        <f>INDEX('05_副属性基础'!$C$2:$C$11,MATCH(A332,'05_副属性基础'!$A$2:$A$11,0))</f>
        <v/>
      </c>
      <c r="F332" s="3">
        <f>INDEX('02_品质等级'!$D$2:$D$6,MATCH(C332,'02_品质等级'!$A$2:$A$6,0))</f>
        <v/>
      </c>
      <c r="G332" s="3">
        <f>INDEX('05_副属性基础'!$I$2:$I$13,MATCH(D332,'05_副属性基础'!$G$2:$G$13,0))</f>
        <v/>
      </c>
      <c r="H332" s="3">
        <f>INDEX('02_品质等级'!$G$2:$G$6,MATCH(C332,'02_品质等级'!$A$2:$A$6,0))</f>
        <v/>
      </c>
      <c r="I332" s="3">
        <f>INDEX('02_品质等级'!$H$2:$H$6,MATCH(C332,'02_品质等级'!$A$2:$A$6,0))</f>
        <v/>
      </c>
      <c r="J332" s="3">
        <f>E332*F332*G332*H332</f>
        <v/>
      </c>
      <c r="K332" s="3">
        <f>E332*F332*G332*I332</f>
        <v/>
      </c>
    </row>
    <row r="333">
      <c r="A333" s="2" t="inlineStr">
        <is>
          <t>生命</t>
        </is>
      </c>
      <c r="B333" s="2" t="inlineStr">
        <is>
          <t>固定值</t>
        </is>
      </c>
      <c r="C333" s="2" t="inlineStr">
        <is>
          <t>紫</t>
        </is>
      </c>
      <c r="D333" s="2" t="n">
        <v>40</v>
      </c>
      <c r="E333" s="3">
        <f>INDEX('05_副属性基础'!$C$2:$C$11,MATCH(A333,'05_副属性基础'!$A$2:$A$11,0))</f>
        <v/>
      </c>
      <c r="F333" s="3">
        <f>INDEX('02_品质等级'!$D$2:$D$6,MATCH(C333,'02_品质等级'!$A$2:$A$6,0))</f>
        <v/>
      </c>
      <c r="G333" s="3">
        <f>INDEX('05_副属性基础'!$I$2:$I$13,MATCH(D333,'05_副属性基础'!$G$2:$G$13,0))</f>
        <v/>
      </c>
      <c r="H333" s="3">
        <f>INDEX('02_品质等级'!$G$2:$G$6,MATCH(C333,'02_品质等级'!$A$2:$A$6,0))</f>
        <v/>
      </c>
      <c r="I333" s="3">
        <f>INDEX('02_品质等级'!$H$2:$H$6,MATCH(C333,'02_品质等级'!$A$2:$A$6,0))</f>
        <v/>
      </c>
      <c r="J333" s="3">
        <f>E333*F333*G333*H333</f>
        <v/>
      </c>
      <c r="K333" s="3">
        <f>E333*F333*G333*I333</f>
        <v/>
      </c>
    </row>
    <row r="334">
      <c r="A334" s="2" t="inlineStr">
        <is>
          <t>生命</t>
        </is>
      </c>
      <c r="B334" s="2" t="inlineStr">
        <is>
          <t>固定值</t>
        </is>
      </c>
      <c r="C334" s="2" t="inlineStr">
        <is>
          <t>紫</t>
        </is>
      </c>
      <c r="D334" s="2" t="n">
        <v>45</v>
      </c>
      <c r="E334" s="3">
        <f>INDEX('05_副属性基础'!$C$2:$C$11,MATCH(A334,'05_副属性基础'!$A$2:$A$11,0))</f>
        <v/>
      </c>
      <c r="F334" s="3">
        <f>INDEX('02_品质等级'!$D$2:$D$6,MATCH(C334,'02_品质等级'!$A$2:$A$6,0))</f>
        <v/>
      </c>
      <c r="G334" s="3">
        <f>INDEX('05_副属性基础'!$I$2:$I$13,MATCH(D334,'05_副属性基础'!$G$2:$G$13,0))</f>
        <v/>
      </c>
      <c r="H334" s="3">
        <f>INDEX('02_品质等级'!$G$2:$G$6,MATCH(C334,'02_品质等级'!$A$2:$A$6,0))</f>
        <v/>
      </c>
      <c r="I334" s="3">
        <f>INDEX('02_品质等级'!$H$2:$H$6,MATCH(C334,'02_品质等级'!$A$2:$A$6,0))</f>
        <v/>
      </c>
      <c r="J334" s="3">
        <f>E334*F334*G334*H334</f>
        <v/>
      </c>
      <c r="K334" s="3">
        <f>E334*F334*G334*I334</f>
        <v/>
      </c>
    </row>
    <row r="335">
      <c r="A335" s="2" t="inlineStr">
        <is>
          <t>生命</t>
        </is>
      </c>
      <c r="B335" s="2" t="inlineStr">
        <is>
          <t>固定值</t>
        </is>
      </c>
      <c r="C335" s="2" t="inlineStr">
        <is>
          <t>紫</t>
        </is>
      </c>
      <c r="D335" s="2" t="n">
        <v>50</v>
      </c>
      <c r="E335" s="3">
        <f>INDEX('05_副属性基础'!$C$2:$C$11,MATCH(A335,'05_副属性基础'!$A$2:$A$11,0))</f>
        <v/>
      </c>
      <c r="F335" s="3">
        <f>INDEX('02_品质等级'!$D$2:$D$6,MATCH(C335,'02_品质等级'!$A$2:$A$6,0))</f>
        <v/>
      </c>
      <c r="G335" s="3">
        <f>INDEX('05_副属性基础'!$I$2:$I$13,MATCH(D335,'05_副属性基础'!$G$2:$G$13,0))</f>
        <v/>
      </c>
      <c r="H335" s="3">
        <f>INDEX('02_品质等级'!$G$2:$G$6,MATCH(C335,'02_品质等级'!$A$2:$A$6,0))</f>
        <v/>
      </c>
      <c r="I335" s="3">
        <f>INDEX('02_品质等级'!$H$2:$H$6,MATCH(C335,'02_品质等级'!$A$2:$A$6,0))</f>
        <v/>
      </c>
      <c r="J335" s="3">
        <f>E335*F335*G335*H335</f>
        <v/>
      </c>
      <c r="K335" s="3">
        <f>E335*F335*G335*I335</f>
        <v/>
      </c>
    </row>
    <row r="336">
      <c r="A336" s="2" t="inlineStr">
        <is>
          <t>生命</t>
        </is>
      </c>
      <c r="B336" s="2" t="inlineStr">
        <is>
          <t>固定值</t>
        </is>
      </c>
      <c r="C336" s="2" t="inlineStr">
        <is>
          <t>紫</t>
        </is>
      </c>
      <c r="D336" s="2" t="n">
        <v>55</v>
      </c>
      <c r="E336" s="3">
        <f>INDEX('05_副属性基础'!$C$2:$C$11,MATCH(A336,'05_副属性基础'!$A$2:$A$11,0))</f>
        <v/>
      </c>
      <c r="F336" s="3">
        <f>INDEX('02_品质等级'!$D$2:$D$6,MATCH(C336,'02_品质等级'!$A$2:$A$6,0))</f>
        <v/>
      </c>
      <c r="G336" s="3">
        <f>INDEX('05_副属性基础'!$I$2:$I$13,MATCH(D336,'05_副属性基础'!$G$2:$G$13,0))</f>
        <v/>
      </c>
      <c r="H336" s="3">
        <f>INDEX('02_品质等级'!$G$2:$G$6,MATCH(C336,'02_品质等级'!$A$2:$A$6,0))</f>
        <v/>
      </c>
      <c r="I336" s="3">
        <f>INDEX('02_品质等级'!$H$2:$H$6,MATCH(C336,'02_品质等级'!$A$2:$A$6,0))</f>
        <v/>
      </c>
      <c r="J336" s="3">
        <f>E336*F336*G336*H336</f>
        <v/>
      </c>
      <c r="K336" s="3">
        <f>E336*F336*G336*I336</f>
        <v/>
      </c>
    </row>
    <row r="337">
      <c r="A337" s="2" t="inlineStr">
        <is>
          <t>生命</t>
        </is>
      </c>
      <c r="B337" s="2" t="inlineStr">
        <is>
          <t>固定值</t>
        </is>
      </c>
      <c r="C337" s="2" t="inlineStr">
        <is>
          <t>紫</t>
        </is>
      </c>
      <c r="D337" s="2" t="n">
        <v>60</v>
      </c>
      <c r="E337" s="3">
        <f>INDEX('05_副属性基础'!$C$2:$C$11,MATCH(A337,'05_副属性基础'!$A$2:$A$11,0))</f>
        <v/>
      </c>
      <c r="F337" s="3">
        <f>INDEX('02_品质等级'!$D$2:$D$6,MATCH(C337,'02_品质等级'!$A$2:$A$6,0))</f>
        <v/>
      </c>
      <c r="G337" s="3">
        <f>INDEX('05_副属性基础'!$I$2:$I$13,MATCH(D337,'05_副属性基础'!$G$2:$G$13,0))</f>
        <v/>
      </c>
      <c r="H337" s="3">
        <f>INDEX('02_品质等级'!$G$2:$G$6,MATCH(C337,'02_品质等级'!$A$2:$A$6,0))</f>
        <v/>
      </c>
      <c r="I337" s="3">
        <f>INDEX('02_品质等级'!$H$2:$H$6,MATCH(C337,'02_品质等级'!$A$2:$A$6,0))</f>
        <v/>
      </c>
      <c r="J337" s="3">
        <f>E337*F337*G337*H337</f>
        <v/>
      </c>
      <c r="K337" s="3">
        <f>E337*F337*G337*I337</f>
        <v/>
      </c>
    </row>
    <row r="338">
      <c r="A338" s="2" t="inlineStr">
        <is>
          <t>生命</t>
        </is>
      </c>
      <c r="B338" s="2" t="inlineStr">
        <is>
          <t>固定值</t>
        </is>
      </c>
      <c r="C338" s="2" t="inlineStr">
        <is>
          <t>金</t>
        </is>
      </c>
      <c r="D338" s="2" t="n">
        <v>5</v>
      </c>
      <c r="E338" s="3">
        <f>INDEX('05_副属性基础'!$C$2:$C$11,MATCH(A338,'05_副属性基础'!$A$2:$A$11,0))</f>
        <v/>
      </c>
      <c r="F338" s="3">
        <f>INDEX('02_品质等级'!$D$2:$D$6,MATCH(C338,'02_品质等级'!$A$2:$A$6,0))</f>
        <v/>
      </c>
      <c r="G338" s="3">
        <f>INDEX('05_副属性基础'!$I$2:$I$13,MATCH(D338,'05_副属性基础'!$G$2:$G$13,0))</f>
        <v/>
      </c>
      <c r="H338" s="3">
        <f>INDEX('02_品质等级'!$G$2:$G$6,MATCH(C338,'02_品质等级'!$A$2:$A$6,0))</f>
        <v/>
      </c>
      <c r="I338" s="3">
        <f>INDEX('02_品质等级'!$H$2:$H$6,MATCH(C338,'02_品质等级'!$A$2:$A$6,0))</f>
        <v/>
      </c>
      <c r="J338" s="3">
        <f>E338*F338*G338*H338</f>
        <v/>
      </c>
      <c r="K338" s="3">
        <f>E338*F338*G338*I338</f>
        <v/>
      </c>
    </row>
    <row r="339">
      <c r="A339" s="2" t="inlineStr">
        <is>
          <t>生命</t>
        </is>
      </c>
      <c r="B339" s="2" t="inlineStr">
        <is>
          <t>固定值</t>
        </is>
      </c>
      <c r="C339" s="2" t="inlineStr">
        <is>
          <t>金</t>
        </is>
      </c>
      <c r="D339" s="2" t="n">
        <v>10</v>
      </c>
      <c r="E339" s="3">
        <f>INDEX('05_副属性基础'!$C$2:$C$11,MATCH(A339,'05_副属性基础'!$A$2:$A$11,0))</f>
        <v/>
      </c>
      <c r="F339" s="3">
        <f>INDEX('02_品质等级'!$D$2:$D$6,MATCH(C339,'02_品质等级'!$A$2:$A$6,0))</f>
        <v/>
      </c>
      <c r="G339" s="3">
        <f>INDEX('05_副属性基础'!$I$2:$I$13,MATCH(D339,'05_副属性基础'!$G$2:$G$13,0))</f>
        <v/>
      </c>
      <c r="H339" s="3">
        <f>INDEX('02_品质等级'!$G$2:$G$6,MATCH(C339,'02_品质等级'!$A$2:$A$6,0))</f>
        <v/>
      </c>
      <c r="I339" s="3">
        <f>INDEX('02_品质等级'!$H$2:$H$6,MATCH(C339,'02_品质等级'!$A$2:$A$6,0))</f>
        <v/>
      </c>
      <c r="J339" s="3">
        <f>E339*F339*G339*H339</f>
        <v/>
      </c>
      <c r="K339" s="3">
        <f>E339*F339*G339*I339</f>
        <v/>
      </c>
    </row>
    <row r="340">
      <c r="A340" s="2" t="inlineStr">
        <is>
          <t>生命</t>
        </is>
      </c>
      <c r="B340" s="2" t="inlineStr">
        <is>
          <t>固定值</t>
        </is>
      </c>
      <c r="C340" s="2" t="inlineStr">
        <is>
          <t>金</t>
        </is>
      </c>
      <c r="D340" s="2" t="n">
        <v>15</v>
      </c>
      <c r="E340" s="3">
        <f>INDEX('05_副属性基础'!$C$2:$C$11,MATCH(A340,'05_副属性基础'!$A$2:$A$11,0))</f>
        <v/>
      </c>
      <c r="F340" s="3">
        <f>INDEX('02_品质等级'!$D$2:$D$6,MATCH(C340,'02_品质等级'!$A$2:$A$6,0))</f>
        <v/>
      </c>
      <c r="G340" s="3">
        <f>INDEX('05_副属性基础'!$I$2:$I$13,MATCH(D340,'05_副属性基础'!$G$2:$G$13,0))</f>
        <v/>
      </c>
      <c r="H340" s="3">
        <f>INDEX('02_品质等级'!$G$2:$G$6,MATCH(C340,'02_品质等级'!$A$2:$A$6,0))</f>
        <v/>
      </c>
      <c r="I340" s="3">
        <f>INDEX('02_品质等级'!$H$2:$H$6,MATCH(C340,'02_品质等级'!$A$2:$A$6,0))</f>
        <v/>
      </c>
      <c r="J340" s="3">
        <f>E340*F340*G340*H340</f>
        <v/>
      </c>
      <c r="K340" s="3">
        <f>E340*F340*G340*I340</f>
        <v/>
      </c>
    </row>
    <row r="341">
      <c r="A341" s="2" t="inlineStr">
        <is>
          <t>生命</t>
        </is>
      </c>
      <c r="B341" s="2" t="inlineStr">
        <is>
          <t>固定值</t>
        </is>
      </c>
      <c r="C341" s="2" t="inlineStr">
        <is>
          <t>金</t>
        </is>
      </c>
      <c r="D341" s="2" t="n">
        <v>20</v>
      </c>
      <c r="E341" s="3">
        <f>INDEX('05_副属性基础'!$C$2:$C$11,MATCH(A341,'05_副属性基础'!$A$2:$A$11,0))</f>
        <v/>
      </c>
      <c r="F341" s="3">
        <f>INDEX('02_品质等级'!$D$2:$D$6,MATCH(C341,'02_品质等级'!$A$2:$A$6,0))</f>
        <v/>
      </c>
      <c r="G341" s="3">
        <f>INDEX('05_副属性基础'!$I$2:$I$13,MATCH(D341,'05_副属性基础'!$G$2:$G$13,0))</f>
        <v/>
      </c>
      <c r="H341" s="3">
        <f>INDEX('02_品质等级'!$G$2:$G$6,MATCH(C341,'02_品质等级'!$A$2:$A$6,0))</f>
        <v/>
      </c>
      <c r="I341" s="3">
        <f>INDEX('02_品质等级'!$H$2:$H$6,MATCH(C341,'02_品质等级'!$A$2:$A$6,0))</f>
        <v/>
      </c>
      <c r="J341" s="3">
        <f>E341*F341*G341*H341</f>
        <v/>
      </c>
      <c r="K341" s="3">
        <f>E341*F341*G341*I341</f>
        <v/>
      </c>
    </row>
    <row r="342">
      <c r="A342" s="2" t="inlineStr">
        <is>
          <t>生命</t>
        </is>
      </c>
      <c r="B342" s="2" t="inlineStr">
        <is>
          <t>固定值</t>
        </is>
      </c>
      <c r="C342" s="2" t="inlineStr">
        <is>
          <t>金</t>
        </is>
      </c>
      <c r="D342" s="2" t="n">
        <v>25</v>
      </c>
      <c r="E342" s="3">
        <f>INDEX('05_副属性基础'!$C$2:$C$11,MATCH(A342,'05_副属性基础'!$A$2:$A$11,0))</f>
        <v/>
      </c>
      <c r="F342" s="3">
        <f>INDEX('02_品质等级'!$D$2:$D$6,MATCH(C342,'02_品质等级'!$A$2:$A$6,0))</f>
        <v/>
      </c>
      <c r="G342" s="3">
        <f>INDEX('05_副属性基础'!$I$2:$I$13,MATCH(D342,'05_副属性基础'!$G$2:$G$13,0))</f>
        <v/>
      </c>
      <c r="H342" s="3">
        <f>INDEX('02_品质等级'!$G$2:$G$6,MATCH(C342,'02_品质等级'!$A$2:$A$6,0))</f>
        <v/>
      </c>
      <c r="I342" s="3">
        <f>INDEX('02_品质等级'!$H$2:$H$6,MATCH(C342,'02_品质等级'!$A$2:$A$6,0))</f>
        <v/>
      </c>
      <c r="J342" s="3">
        <f>E342*F342*G342*H342</f>
        <v/>
      </c>
      <c r="K342" s="3">
        <f>E342*F342*G342*I342</f>
        <v/>
      </c>
    </row>
    <row r="343">
      <c r="A343" s="2" t="inlineStr">
        <is>
          <t>生命</t>
        </is>
      </c>
      <c r="B343" s="2" t="inlineStr">
        <is>
          <t>固定值</t>
        </is>
      </c>
      <c r="C343" s="2" t="inlineStr">
        <is>
          <t>金</t>
        </is>
      </c>
      <c r="D343" s="2" t="n">
        <v>30</v>
      </c>
      <c r="E343" s="3">
        <f>INDEX('05_副属性基础'!$C$2:$C$11,MATCH(A343,'05_副属性基础'!$A$2:$A$11,0))</f>
        <v/>
      </c>
      <c r="F343" s="3">
        <f>INDEX('02_品质等级'!$D$2:$D$6,MATCH(C343,'02_品质等级'!$A$2:$A$6,0))</f>
        <v/>
      </c>
      <c r="G343" s="3">
        <f>INDEX('05_副属性基础'!$I$2:$I$13,MATCH(D343,'05_副属性基础'!$G$2:$G$13,0))</f>
        <v/>
      </c>
      <c r="H343" s="3">
        <f>INDEX('02_品质等级'!$G$2:$G$6,MATCH(C343,'02_品质等级'!$A$2:$A$6,0))</f>
        <v/>
      </c>
      <c r="I343" s="3">
        <f>INDEX('02_品质等级'!$H$2:$H$6,MATCH(C343,'02_品质等级'!$A$2:$A$6,0))</f>
        <v/>
      </c>
      <c r="J343" s="3">
        <f>E343*F343*G343*H343</f>
        <v/>
      </c>
      <c r="K343" s="3">
        <f>E343*F343*G343*I343</f>
        <v/>
      </c>
    </row>
    <row r="344">
      <c r="A344" s="2" t="inlineStr">
        <is>
          <t>生命</t>
        </is>
      </c>
      <c r="B344" s="2" t="inlineStr">
        <is>
          <t>固定值</t>
        </is>
      </c>
      <c r="C344" s="2" t="inlineStr">
        <is>
          <t>金</t>
        </is>
      </c>
      <c r="D344" s="2" t="n">
        <v>35</v>
      </c>
      <c r="E344" s="3">
        <f>INDEX('05_副属性基础'!$C$2:$C$11,MATCH(A344,'05_副属性基础'!$A$2:$A$11,0))</f>
        <v/>
      </c>
      <c r="F344" s="3">
        <f>INDEX('02_品质等级'!$D$2:$D$6,MATCH(C344,'02_品质等级'!$A$2:$A$6,0))</f>
        <v/>
      </c>
      <c r="G344" s="3">
        <f>INDEX('05_副属性基础'!$I$2:$I$13,MATCH(D344,'05_副属性基础'!$G$2:$G$13,0))</f>
        <v/>
      </c>
      <c r="H344" s="3">
        <f>INDEX('02_品质等级'!$G$2:$G$6,MATCH(C344,'02_品质等级'!$A$2:$A$6,0))</f>
        <v/>
      </c>
      <c r="I344" s="3">
        <f>INDEX('02_品质等级'!$H$2:$H$6,MATCH(C344,'02_品质等级'!$A$2:$A$6,0))</f>
        <v/>
      </c>
      <c r="J344" s="3">
        <f>E344*F344*G344*H344</f>
        <v/>
      </c>
      <c r="K344" s="3">
        <f>E344*F344*G344*I344</f>
        <v/>
      </c>
    </row>
    <row r="345">
      <c r="A345" s="2" t="inlineStr">
        <is>
          <t>生命</t>
        </is>
      </c>
      <c r="B345" s="2" t="inlineStr">
        <is>
          <t>固定值</t>
        </is>
      </c>
      <c r="C345" s="2" t="inlineStr">
        <is>
          <t>金</t>
        </is>
      </c>
      <c r="D345" s="2" t="n">
        <v>40</v>
      </c>
      <c r="E345" s="3">
        <f>INDEX('05_副属性基础'!$C$2:$C$11,MATCH(A345,'05_副属性基础'!$A$2:$A$11,0))</f>
        <v/>
      </c>
      <c r="F345" s="3">
        <f>INDEX('02_品质等级'!$D$2:$D$6,MATCH(C345,'02_品质等级'!$A$2:$A$6,0))</f>
        <v/>
      </c>
      <c r="G345" s="3">
        <f>INDEX('05_副属性基础'!$I$2:$I$13,MATCH(D345,'05_副属性基础'!$G$2:$G$13,0))</f>
        <v/>
      </c>
      <c r="H345" s="3">
        <f>INDEX('02_品质等级'!$G$2:$G$6,MATCH(C345,'02_品质等级'!$A$2:$A$6,0))</f>
        <v/>
      </c>
      <c r="I345" s="3">
        <f>INDEX('02_品质等级'!$H$2:$H$6,MATCH(C345,'02_品质等级'!$A$2:$A$6,0))</f>
        <v/>
      </c>
      <c r="J345" s="3">
        <f>E345*F345*G345*H345</f>
        <v/>
      </c>
      <c r="K345" s="3">
        <f>E345*F345*G345*I345</f>
        <v/>
      </c>
    </row>
    <row r="346">
      <c r="A346" s="2" t="inlineStr">
        <is>
          <t>生命</t>
        </is>
      </c>
      <c r="B346" s="2" t="inlineStr">
        <is>
          <t>固定值</t>
        </is>
      </c>
      <c r="C346" s="2" t="inlineStr">
        <is>
          <t>金</t>
        </is>
      </c>
      <c r="D346" s="2" t="n">
        <v>45</v>
      </c>
      <c r="E346" s="3">
        <f>INDEX('05_副属性基础'!$C$2:$C$11,MATCH(A346,'05_副属性基础'!$A$2:$A$11,0))</f>
        <v/>
      </c>
      <c r="F346" s="3">
        <f>INDEX('02_品质等级'!$D$2:$D$6,MATCH(C346,'02_品质等级'!$A$2:$A$6,0))</f>
        <v/>
      </c>
      <c r="G346" s="3">
        <f>INDEX('05_副属性基础'!$I$2:$I$13,MATCH(D346,'05_副属性基础'!$G$2:$G$13,0))</f>
        <v/>
      </c>
      <c r="H346" s="3">
        <f>INDEX('02_品质等级'!$G$2:$G$6,MATCH(C346,'02_品质等级'!$A$2:$A$6,0))</f>
        <v/>
      </c>
      <c r="I346" s="3">
        <f>INDEX('02_品质等级'!$H$2:$H$6,MATCH(C346,'02_品质等级'!$A$2:$A$6,0))</f>
        <v/>
      </c>
      <c r="J346" s="3">
        <f>E346*F346*G346*H346</f>
        <v/>
      </c>
      <c r="K346" s="3">
        <f>E346*F346*G346*I346</f>
        <v/>
      </c>
    </row>
    <row r="347">
      <c r="A347" s="2" t="inlineStr">
        <is>
          <t>生命</t>
        </is>
      </c>
      <c r="B347" s="2" t="inlineStr">
        <is>
          <t>固定值</t>
        </is>
      </c>
      <c r="C347" s="2" t="inlineStr">
        <is>
          <t>金</t>
        </is>
      </c>
      <c r="D347" s="2" t="n">
        <v>50</v>
      </c>
      <c r="E347" s="3">
        <f>INDEX('05_副属性基础'!$C$2:$C$11,MATCH(A347,'05_副属性基础'!$A$2:$A$11,0))</f>
        <v/>
      </c>
      <c r="F347" s="3">
        <f>INDEX('02_品质等级'!$D$2:$D$6,MATCH(C347,'02_品质等级'!$A$2:$A$6,0))</f>
        <v/>
      </c>
      <c r="G347" s="3">
        <f>INDEX('05_副属性基础'!$I$2:$I$13,MATCH(D347,'05_副属性基础'!$G$2:$G$13,0))</f>
        <v/>
      </c>
      <c r="H347" s="3">
        <f>INDEX('02_品质等级'!$G$2:$G$6,MATCH(C347,'02_品质等级'!$A$2:$A$6,0))</f>
        <v/>
      </c>
      <c r="I347" s="3">
        <f>INDEX('02_品质等级'!$H$2:$H$6,MATCH(C347,'02_品质等级'!$A$2:$A$6,0))</f>
        <v/>
      </c>
      <c r="J347" s="3">
        <f>E347*F347*G347*H347</f>
        <v/>
      </c>
      <c r="K347" s="3">
        <f>E347*F347*G347*I347</f>
        <v/>
      </c>
    </row>
    <row r="348">
      <c r="A348" s="2" t="inlineStr">
        <is>
          <t>生命</t>
        </is>
      </c>
      <c r="B348" s="2" t="inlineStr">
        <is>
          <t>固定值</t>
        </is>
      </c>
      <c r="C348" s="2" t="inlineStr">
        <is>
          <t>金</t>
        </is>
      </c>
      <c r="D348" s="2" t="n">
        <v>55</v>
      </c>
      <c r="E348" s="3">
        <f>INDEX('05_副属性基础'!$C$2:$C$11,MATCH(A348,'05_副属性基础'!$A$2:$A$11,0))</f>
        <v/>
      </c>
      <c r="F348" s="3">
        <f>INDEX('02_品质等级'!$D$2:$D$6,MATCH(C348,'02_品质等级'!$A$2:$A$6,0))</f>
        <v/>
      </c>
      <c r="G348" s="3">
        <f>INDEX('05_副属性基础'!$I$2:$I$13,MATCH(D348,'05_副属性基础'!$G$2:$G$13,0))</f>
        <v/>
      </c>
      <c r="H348" s="3">
        <f>INDEX('02_品质等级'!$G$2:$G$6,MATCH(C348,'02_品质等级'!$A$2:$A$6,0))</f>
        <v/>
      </c>
      <c r="I348" s="3">
        <f>INDEX('02_品质等级'!$H$2:$H$6,MATCH(C348,'02_品质等级'!$A$2:$A$6,0))</f>
        <v/>
      </c>
      <c r="J348" s="3">
        <f>E348*F348*G348*H348</f>
        <v/>
      </c>
      <c r="K348" s="3">
        <f>E348*F348*G348*I348</f>
        <v/>
      </c>
    </row>
    <row r="349">
      <c r="A349" s="2" t="inlineStr">
        <is>
          <t>生命</t>
        </is>
      </c>
      <c r="B349" s="2" t="inlineStr">
        <is>
          <t>固定值</t>
        </is>
      </c>
      <c r="C349" s="2" t="inlineStr">
        <is>
          <t>金</t>
        </is>
      </c>
      <c r="D349" s="2" t="n">
        <v>60</v>
      </c>
      <c r="E349" s="3">
        <f>INDEX('05_副属性基础'!$C$2:$C$11,MATCH(A349,'05_副属性基础'!$A$2:$A$11,0))</f>
        <v/>
      </c>
      <c r="F349" s="3">
        <f>INDEX('02_品质等级'!$D$2:$D$6,MATCH(C349,'02_品质等级'!$A$2:$A$6,0))</f>
        <v/>
      </c>
      <c r="G349" s="3">
        <f>INDEX('05_副属性基础'!$I$2:$I$13,MATCH(D349,'05_副属性基础'!$G$2:$G$13,0))</f>
        <v/>
      </c>
      <c r="H349" s="3">
        <f>INDEX('02_品质等级'!$G$2:$G$6,MATCH(C349,'02_品质等级'!$A$2:$A$6,0))</f>
        <v/>
      </c>
      <c r="I349" s="3">
        <f>INDEX('02_品质等级'!$H$2:$H$6,MATCH(C349,'02_品质等级'!$A$2:$A$6,0))</f>
        <v/>
      </c>
      <c r="J349" s="3">
        <f>E349*F349*G349*H349</f>
        <v/>
      </c>
      <c r="K349" s="3">
        <f>E349*F349*G349*I349</f>
        <v/>
      </c>
    </row>
    <row r="350">
      <c r="A350" s="2" t="inlineStr">
        <is>
          <t>生命</t>
        </is>
      </c>
      <c r="B350" s="2" t="inlineStr">
        <is>
          <t>固定值</t>
        </is>
      </c>
      <c r="C350" s="2" t="inlineStr">
        <is>
          <t>红</t>
        </is>
      </c>
      <c r="D350" s="2" t="n">
        <v>5</v>
      </c>
      <c r="E350" s="3">
        <f>INDEX('05_副属性基础'!$C$2:$C$11,MATCH(A350,'05_副属性基础'!$A$2:$A$11,0))</f>
        <v/>
      </c>
      <c r="F350" s="3">
        <f>INDEX('02_品质等级'!$D$2:$D$6,MATCH(C350,'02_品质等级'!$A$2:$A$6,0))</f>
        <v/>
      </c>
      <c r="G350" s="3">
        <f>INDEX('05_副属性基础'!$I$2:$I$13,MATCH(D350,'05_副属性基础'!$G$2:$G$13,0))</f>
        <v/>
      </c>
      <c r="H350" s="3">
        <f>INDEX('02_品质等级'!$G$2:$G$6,MATCH(C350,'02_品质等级'!$A$2:$A$6,0))</f>
        <v/>
      </c>
      <c r="I350" s="3">
        <f>INDEX('02_品质等级'!$H$2:$H$6,MATCH(C350,'02_品质等级'!$A$2:$A$6,0))</f>
        <v/>
      </c>
      <c r="J350" s="3">
        <f>E350*F350*G350*H350</f>
        <v/>
      </c>
      <c r="K350" s="3">
        <f>E350*F350*G350*I350</f>
        <v/>
      </c>
    </row>
    <row r="351">
      <c r="A351" s="2" t="inlineStr">
        <is>
          <t>生命</t>
        </is>
      </c>
      <c r="B351" s="2" t="inlineStr">
        <is>
          <t>固定值</t>
        </is>
      </c>
      <c r="C351" s="2" t="inlineStr">
        <is>
          <t>红</t>
        </is>
      </c>
      <c r="D351" s="2" t="n">
        <v>10</v>
      </c>
      <c r="E351" s="3">
        <f>INDEX('05_副属性基础'!$C$2:$C$11,MATCH(A351,'05_副属性基础'!$A$2:$A$11,0))</f>
        <v/>
      </c>
      <c r="F351" s="3">
        <f>INDEX('02_品质等级'!$D$2:$D$6,MATCH(C351,'02_品质等级'!$A$2:$A$6,0))</f>
        <v/>
      </c>
      <c r="G351" s="3">
        <f>INDEX('05_副属性基础'!$I$2:$I$13,MATCH(D351,'05_副属性基础'!$G$2:$G$13,0))</f>
        <v/>
      </c>
      <c r="H351" s="3">
        <f>INDEX('02_品质等级'!$G$2:$G$6,MATCH(C351,'02_品质等级'!$A$2:$A$6,0))</f>
        <v/>
      </c>
      <c r="I351" s="3">
        <f>INDEX('02_品质等级'!$H$2:$H$6,MATCH(C351,'02_品质等级'!$A$2:$A$6,0))</f>
        <v/>
      </c>
      <c r="J351" s="3">
        <f>E351*F351*G351*H351</f>
        <v/>
      </c>
      <c r="K351" s="3">
        <f>E351*F351*G351*I351</f>
        <v/>
      </c>
    </row>
    <row r="352">
      <c r="A352" s="2" t="inlineStr">
        <is>
          <t>生命</t>
        </is>
      </c>
      <c r="B352" s="2" t="inlineStr">
        <is>
          <t>固定值</t>
        </is>
      </c>
      <c r="C352" s="2" t="inlineStr">
        <is>
          <t>红</t>
        </is>
      </c>
      <c r="D352" s="2" t="n">
        <v>15</v>
      </c>
      <c r="E352" s="3">
        <f>INDEX('05_副属性基础'!$C$2:$C$11,MATCH(A352,'05_副属性基础'!$A$2:$A$11,0))</f>
        <v/>
      </c>
      <c r="F352" s="3">
        <f>INDEX('02_品质等级'!$D$2:$D$6,MATCH(C352,'02_品质等级'!$A$2:$A$6,0))</f>
        <v/>
      </c>
      <c r="G352" s="3">
        <f>INDEX('05_副属性基础'!$I$2:$I$13,MATCH(D352,'05_副属性基础'!$G$2:$G$13,0))</f>
        <v/>
      </c>
      <c r="H352" s="3">
        <f>INDEX('02_品质等级'!$G$2:$G$6,MATCH(C352,'02_品质等级'!$A$2:$A$6,0))</f>
        <v/>
      </c>
      <c r="I352" s="3">
        <f>INDEX('02_品质等级'!$H$2:$H$6,MATCH(C352,'02_品质等级'!$A$2:$A$6,0))</f>
        <v/>
      </c>
      <c r="J352" s="3">
        <f>E352*F352*G352*H352</f>
        <v/>
      </c>
      <c r="K352" s="3">
        <f>E352*F352*G352*I352</f>
        <v/>
      </c>
    </row>
    <row r="353">
      <c r="A353" s="2" t="inlineStr">
        <is>
          <t>生命</t>
        </is>
      </c>
      <c r="B353" s="2" t="inlineStr">
        <is>
          <t>固定值</t>
        </is>
      </c>
      <c r="C353" s="2" t="inlineStr">
        <is>
          <t>红</t>
        </is>
      </c>
      <c r="D353" s="2" t="n">
        <v>20</v>
      </c>
      <c r="E353" s="3">
        <f>INDEX('05_副属性基础'!$C$2:$C$11,MATCH(A353,'05_副属性基础'!$A$2:$A$11,0))</f>
        <v/>
      </c>
      <c r="F353" s="3">
        <f>INDEX('02_品质等级'!$D$2:$D$6,MATCH(C353,'02_品质等级'!$A$2:$A$6,0))</f>
        <v/>
      </c>
      <c r="G353" s="3">
        <f>INDEX('05_副属性基础'!$I$2:$I$13,MATCH(D353,'05_副属性基础'!$G$2:$G$13,0))</f>
        <v/>
      </c>
      <c r="H353" s="3">
        <f>INDEX('02_品质等级'!$G$2:$G$6,MATCH(C353,'02_品质等级'!$A$2:$A$6,0))</f>
        <v/>
      </c>
      <c r="I353" s="3">
        <f>INDEX('02_品质等级'!$H$2:$H$6,MATCH(C353,'02_品质等级'!$A$2:$A$6,0))</f>
        <v/>
      </c>
      <c r="J353" s="3">
        <f>E353*F353*G353*H353</f>
        <v/>
      </c>
      <c r="K353" s="3">
        <f>E353*F353*G353*I353</f>
        <v/>
      </c>
    </row>
    <row r="354">
      <c r="A354" s="2" t="inlineStr">
        <is>
          <t>生命</t>
        </is>
      </c>
      <c r="B354" s="2" t="inlineStr">
        <is>
          <t>固定值</t>
        </is>
      </c>
      <c r="C354" s="2" t="inlineStr">
        <is>
          <t>红</t>
        </is>
      </c>
      <c r="D354" s="2" t="n">
        <v>25</v>
      </c>
      <c r="E354" s="3">
        <f>INDEX('05_副属性基础'!$C$2:$C$11,MATCH(A354,'05_副属性基础'!$A$2:$A$11,0))</f>
        <v/>
      </c>
      <c r="F354" s="3">
        <f>INDEX('02_品质等级'!$D$2:$D$6,MATCH(C354,'02_品质等级'!$A$2:$A$6,0))</f>
        <v/>
      </c>
      <c r="G354" s="3">
        <f>INDEX('05_副属性基础'!$I$2:$I$13,MATCH(D354,'05_副属性基础'!$G$2:$G$13,0))</f>
        <v/>
      </c>
      <c r="H354" s="3">
        <f>INDEX('02_品质等级'!$G$2:$G$6,MATCH(C354,'02_品质等级'!$A$2:$A$6,0))</f>
        <v/>
      </c>
      <c r="I354" s="3">
        <f>INDEX('02_品质等级'!$H$2:$H$6,MATCH(C354,'02_品质等级'!$A$2:$A$6,0))</f>
        <v/>
      </c>
      <c r="J354" s="3">
        <f>E354*F354*G354*H354</f>
        <v/>
      </c>
      <c r="K354" s="3">
        <f>E354*F354*G354*I354</f>
        <v/>
      </c>
    </row>
    <row r="355">
      <c r="A355" s="2" t="inlineStr">
        <is>
          <t>生命</t>
        </is>
      </c>
      <c r="B355" s="2" t="inlineStr">
        <is>
          <t>固定值</t>
        </is>
      </c>
      <c r="C355" s="2" t="inlineStr">
        <is>
          <t>红</t>
        </is>
      </c>
      <c r="D355" s="2" t="n">
        <v>30</v>
      </c>
      <c r="E355" s="3">
        <f>INDEX('05_副属性基础'!$C$2:$C$11,MATCH(A355,'05_副属性基础'!$A$2:$A$11,0))</f>
        <v/>
      </c>
      <c r="F355" s="3">
        <f>INDEX('02_品质等级'!$D$2:$D$6,MATCH(C355,'02_品质等级'!$A$2:$A$6,0))</f>
        <v/>
      </c>
      <c r="G355" s="3">
        <f>INDEX('05_副属性基础'!$I$2:$I$13,MATCH(D355,'05_副属性基础'!$G$2:$G$13,0))</f>
        <v/>
      </c>
      <c r="H355" s="3">
        <f>INDEX('02_品质等级'!$G$2:$G$6,MATCH(C355,'02_品质等级'!$A$2:$A$6,0))</f>
        <v/>
      </c>
      <c r="I355" s="3">
        <f>INDEX('02_品质等级'!$H$2:$H$6,MATCH(C355,'02_品质等级'!$A$2:$A$6,0))</f>
        <v/>
      </c>
      <c r="J355" s="3">
        <f>E355*F355*G355*H355</f>
        <v/>
      </c>
      <c r="K355" s="3">
        <f>E355*F355*G355*I355</f>
        <v/>
      </c>
    </row>
    <row r="356">
      <c r="A356" s="2" t="inlineStr">
        <is>
          <t>生命</t>
        </is>
      </c>
      <c r="B356" s="2" t="inlineStr">
        <is>
          <t>固定值</t>
        </is>
      </c>
      <c r="C356" s="2" t="inlineStr">
        <is>
          <t>红</t>
        </is>
      </c>
      <c r="D356" s="2" t="n">
        <v>35</v>
      </c>
      <c r="E356" s="3">
        <f>INDEX('05_副属性基础'!$C$2:$C$11,MATCH(A356,'05_副属性基础'!$A$2:$A$11,0))</f>
        <v/>
      </c>
      <c r="F356" s="3">
        <f>INDEX('02_品质等级'!$D$2:$D$6,MATCH(C356,'02_品质等级'!$A$2:$A$6,0))</f>
        <v/>
      </c>
      <c r="G356" s="3">
        <f>INDEX('05_副属性基础'!$I$2:$I$13,MATCH(D356,'05_副属性基础'!$G$2:$G$13,0))</f>
        <v/>
      </c>
      <c r="H356" s="3">
        <f>INDEX('02_品质等级'!$G$2:$G$6,MATCH(C356,'02_品质等级'!$A$2:$A$6,0))</f>
        <v/>
      </c>
      <c r="I356" s="3">
        <f>INDEX('02_品质等级'!$H$2:$H$6,MATCH(C356,'02_品质等级'!$A$2:$A$6,0))</f>
        <v/>
      </c>
      <c r="J356" s="3">
        <f>E356*F356*G356*H356</f>
        <v/>
      </c>
      <c r="K356" s="3">
        <f>E356*F356*G356*I356</f>
        <v/>
      </c>
    </row>
    <row r="357">
      <c r="A357" s="2" t="inlineStr">
        <is>
          <t>生命</t>
        </is>
      </c>
      <c r="B357" s="2" t="inlineStr">
        <is>
          <t>固定值</t>
        </is>
      </c>
      <c r="C357" s="2" t="inlineStr">
        <is>
          <t>红</t>
        </is>
      </c>
      <c r="D357" s="2" t="n">
        <v>40</v>
      </c>
      <c r="E357" s="3">
        <f>INDEX('05_副属性基础'!$C$2:$C$11,MATCH(A357,'05_副属性基础'!$A$2:$A$11,0))</f>
        <v/>
      </c>
      <c r="F357" s="3">
        <f>INDEX('02_品质等级'!$D$2:$D$6,MATCH(C357,'02_品质等级'!$A$2:$A$6,0))</f>
        <v/>
      </c>
      <c r="G357" s="3">
        <f>INDEX('05_副属性基础'!$I$2:$I$13,MATCH(D357,'05_副属性基础'!$G$2:$G$13,0))</f>
        <v/>
      </c>
      <c r="H357" s="3">
        <f>INDEX('02_品质等级'!$G$2:$G$6,MATCH(C357,'02_品质等级'!$A$2:$A$6,0))</f>
        <v/>
      </c>
      <c r="I357" s="3">
        <f>INDEX('02_品质等级'!$H$2:$H$6,MATCH(C357,'02_品质等级'!$A$2:$A$6,0))</f>
        <v/>
      </c>
      <c r="J357" s="3">
        <f>E357*F357*G357*H357</f>
        <v/>
      </c>
      <c r="K357" s="3">
        <f>E357*F357*G357*I357</f>
        <v/>
      </c>
    </row>
    <row r="358">
      <c r="A358" s="2" t="inlineStr">
        <is>
          <t>生命</t>
        </is>
      </c>
      <c r="B358" s="2" t="inlineStr">
        <is>
          <t>固定值</t>
        </is>
      </c>
      <c r="C358" s="2" t="inlineStr">
        <is>
          <t>红</t>
        </is>
      </c>
      <c r="D358" s="2" t="n">
        <v>45</v>
      </c>
      <c r="E358" s="3">
        <f>INDEX('05_副属性基础'!$C$2:$C$11,MATCH(A358,'05_副属性基础'!$A$2:$A$11,0))</f>
        <v/>
      </c>
      <c r="F358" s="3">
        <f>INDEX('02_品质等级'!$D$2:$D$6,MATCH(C358,'02_品质等级'!$A$2:$A$6,0))</f>
        <v/>
      </c>
      <c r="G358" s="3">
        <f>INDEX('05_副属性基础'!$I$2:$I$13,MATCH(D358,'05_副属性基础'!$G$2:$G$13,0))</f>
        <v/>
      </c>
      <c r="H358" s="3">
        <f>INDEX('02_品质等级'!$G$2:$G$6,MATCH(C358,'02_品质等级'!$A$2:$A$6,0))</f>
        <v/>
      </c>
      <c r="I358" s="3">
        <f>INDEX('02_品质等级'!$H$2:$H$6,MATCH(C358,'02_品质等级'!$A$2:$A$6,0))</f>
        <v/>
      </c>
      <c r="J358" s="3">
        <f>E358*F358*G358*H358</f>
        <v/>
      </c>
      <c r="K358" s="3">
        <f>E358*F358*G358*I358</f>
        <v/>
      </c>
    </row>
    <row r="359">
      <c r="A359" s="2" t="inlineStr">
        <is>
          <t>生命</t>
        </is>
      </c>
      <c r="B359" s="2" t="inlineStr">
        <is>
          <t>固定值</t>
        </is>
      </c>
      <c r="C359" s="2" t="inlineStr">
        <is>
          <t>红</t>
        </is>
      </c>
      <c r="D359" s="2" t="n">
        <v>50</v>
      </c>
      <c r="E359" s="3">
        <f>INDEX('05_副属性基础'!$C$2:$C$11,MATCH(A359,'05_副属性基础'!$A$2:$A$11,0))</f>
        <v/>
      </c>
      <c r="F359" s="3">
        <f>INDEX('02_品质等级'!$D$2:$D$6,MATCH(C359,'02_品质等级'!$A$2:$A$6,0))</f>
        <v/>
      </c>
      <c r="G359" s="3">
        <f>INDEX('05_副属性基础'!$I$2:$I$13,MATCH(D359,'05_副属性基础'!$G$2:$G$13,0))</f>
        <v/>
      </c>
      <c r="H359" s="3">
        <f>INDEX('02_品质等级'!$G$2:$G$6,MATCH(C359,'02_品质等级'!$A$2:$A$6,0))</f>
        <v/>
      </c>
      <c r="I359" s="3">
        <f>INDEX('02_品质等级'!$H$2:$H$6,MATCH(C359,'02_品质等级'!$A$2:$A$6,0))</f>
        <v/>
      </c>
      <c r="J359" s="3">
        <f>E359*F359*G359*H359</f>
        <v/>
      </c>
      <c r="K359" s="3">
        <f>E359*F359*G359*I359</f>
        <v/>
      </c>
    </row>
    <row r="360">
      <c r="A360" s="2" t="inlineStr">
        <is>
          <t>生命</t>
        </is>
      </c>
      <c r="B360" s="2" t="inlineStr">
        <is>
          <t>固定值</t>
        </is>
      </c>
      <c r="C360" s="2" t="inlineStr">
        <is>
          <t>红</t>
        </is>
      </c>
      <c r="D360" s="2" t="n">
        <v>55</v>
      </c>
      <c r="E360" s="3">
        <f>INDEX('05_副属性基础'!$C$2:$C$11,MATCH(A360,'05_副属性基础'!$A$2:$A$11,0))</f>
        <v/>
      </c>
      <c r="F360" s="3">
        <f>INDEX('02_品质等级'!$D$2:$D$6,MATCH(C360,'02_品质等级'!$A$2:$A$6,0))</f>
        <v/>
      </c>
      <c r="G360" s="3">
        <f>INDEX('05_副属性基础'!$I$2:$I$13,MATCH(D360,'05_副属性基础'!$G$2:$G$13,0))</f>
        <v/>
      </c>
      <c r="H360" s="3">
        <f>INDEX('02_品质等级'!$G$2:$G$6,MATCH(C360,'02_品质等级'!$A$2:$A$6,0))</f>
        <v/>
      </c>
      <c r="I360" s="3">
        <f>INDEX('02_品质等级'!$H$2:$H$6,MATCH(C360,'02_品质等级'!$A$2:$A$6,0))</f>
        <v/>
      </c>
      <c r="J360" s="3">
        <f>E360*F360*G360*H360</f>
        <v/>
      </c>
      <c r="K360" s="3">
        <f>E360*F360*G360*I360</f>
        <v/>
      </c>
    </row>
    <row r="361">
      <c r="A361" s="2" t="inlineStr">
        <is>
          <t>生命</t>
        </is>
      </c>
      <c r="B361" s="2" t="inlineStr">
        <is>
          <t>固定值</t>
        </is>
      </c>
      <c r="C361" s="2" t="inlineStr">
        <is>
          <t>红</t>
        </is>
      </c>
      <c r="D361" s="2" t="n">
        <v>60</v>
      </c>
      <c r="E361" s="3">
        <f>INDEX('05_副属性基础'!$C$2:$C$11,MATCH(A361,'05_副属性基础'!$A$2:$A$11,0))</f>
        <v/>
      </c>
      <c r="F361" s="3">
        <f>INDEX('02_品质等级'!$D$2:$D$6,MATCH(C361,'02_品质等级'!$A$2:$A$6,0))</f>
        <v/>
      </c>
      <c r="G361" s="3">
        <f>INDEX('05_副属性基础'!$I$2:$I$13,MATCH(D361,'05_副属性基础'!$G$2:$G$13,0))</f>
        <v/>
      </c>
      <c r="H361" s="3">
        <f>INDEX('02_品质等级'!$G$2:$G$6,MATCH(C361,'02_品质等级'!$A$2:$A$6,0))</f>
        <v/>
      </c>
      <c r="I361" s="3">
        <f>INDEX('02_品质等级'!$H$2:$H$6,MATCH(C361,'02_品质等级'!$A$2:$A$6,0))</f>
        <v/>
      </c>
      <c r="J361" s="3">
        <f>E361*F361*G361*H361</f>
        <v/>
      </c>
      <c r="K361" s="3">
        <f>E361*F361*G361*I361</f>
        <v/>
      </c>
    </row>
    <row r="362">
      <c r="A362" s="2" t="inlineStr">
        <is>
          <t>暴击等级</t>
        </is>
      </c>
      <c r="B362" s="2" t="inlineStr">
        <is>
          <t>固定值</t>
        </is>
      </c>
      <c r="C362" s="2" t="inlineStr">
        <is>
          <t>绿</t>
        </is>
      </c>
      <c r="D362" s="2" t="n">
        <v>5</v>
      </c>
      <c r="E362" s="3">
        <f>INDEX('05_副属性基础'!$C$2:$C$11,MATCH(A362,'05_副属性基础'!$A$2:$A$11,0))</f>
        <v/>
      </c>
      <c r="F362" s="3">
        <f>INDEX('02_品质等级'!$D$2:$D$6,MATCH(C362,'02_品质等级'!$A$2:$A$6,0))</f>
        <v/>
      </c>
      <c r="G362" s="3">
        <f>INDEX('05_副属性基础'!$I$2:$I$13,MATCH(D362,'05_副属性基础'!$G$2:$G$13,0))</f>
        <v/>
      </c>
      <c r="H362" s="3">
        <f>INDEX('02_品质等级'!$G$2:$G$6,MATCH(C362,'02_品质等级'!$A$2:$A$6,0))</f>
        <v/>
      </c>
      <c r="I362" s="3">
        <f>INDEX('02_品质等级'!$H$2:$H$6,MATCH(C362,'02_品质等级'!$A$2:$A$6,0))</f>
        <v/>
      </c>
      <c r="J362" s="3">
        <f>E362*F362*G362*H362</f>
        <v/>
      </c>
      <c r="K362" s="3">
        <f>E362*F362*G362*I362</f>
        <v/>
      </c>
    </row>
    <row r="363">
      <c r="A363" s="2" t="inlineStr">
        <is>
          <t>暴击等级</t>
        </is>
      </c>
      <c r="B363" s="2" t="inlineStr">
        <is>
          <t>固定值</t>
        </is>
      </c>
      <c r="C363" s="2" t="inlineStr">
        <is>
          <t>绿</t>
        </is>
      </c>
      <c r="D363" s="2" t="n">
        <v>10</v>
      </c>
      <c r="E363" s="3">
        <f>INDEX('05_副属性基础'!$C$2:$C$11,MATCH(A363,'05_副属性基础'!$A$2:$A$11,0))</f>
        <v/>
      </c>
      <c r="F363" s="3">
        <f>INDEX('02_品质等级'!$D$2:$D$6,MATCH(C363,'02_品质等级'!$A$2:$A$6,0))</f>
        <v/>
      </c>
      <c r="G363" s="3">
        <f>INDEX('05_副属性基础'!$I$2:$I$13,MATCH(D363,'05_副属性基础'!$G$2:$G$13,0))</f>
        <v/>
      </c>
      <c r="H363" s="3">
        <f>INDEX('02_品质等级'!$G$2:$G$6,MATCH(C363,'02_品质等级'!$A$2:$A$6,0))</f>
        <v/>
      </c>
      <c r="I363" s="3">
        <f>INDEX('02_品质等级'!$H$2:$H$6,MATCH(C363,'02_品质等级'!$A$2:$A$6,0))</f>
        <v/>
      </c>
      <c r="J363" s="3">
        <f>E363*F363*G363*H363</f>
        <v/>
      </c>
      <c r="K363" s="3">
        <f>E363*F363*G363*I363</f>
        <v/>
      </c>
    </row>
    <row r="364">
      <c r="A364" s="2" t="inlineStr">
        <is>
          <t>暴击等级</t>
        </is>
      </c>
      <c r="B364" s="2" t="inlineStr">
        <is>
          <t>固定值</t>
        </is>
      </c>
      <c r="C364" s="2" t="inlineStr">
        <is>
          <t>绿</t>
        </is>
      </c>
      <c r="D364" s="2" t="n">
        <v>15</v>
      </c>
      <c r="E364" s="3">
        <f>INDEX('05_副属性基础'!$C$2:$C$11,MATCH(A364,'05_副属性基础'!$A$2:$A$11,0))</f>
        <v/>
      </c>
      <c r="F364" s="3">
        <f>INDEX('02_品质等级'!$D$2:$D$6,MATCH(C364,'02_品质等级'!$A$2:$A$6,0))</f>
        <v/>
      </c>
      <c r="G364" s="3">
        <f>INDEX('05_副属性基础'!$I$2:$I$13,MATCH(D364,'05_副属性基础'!$G$2:$G$13,0))</f>
        <v/>
      </c>
      <c r="H364" s="3">
        <f>INDEX('02_品质等级'!$G$2:$G$6,MATCH(C364,'02_品质等级'!$A$2:$A$6,0))</f>
        <v/>
      </c>
      <c r="I364" s="3">
        <f>INDEX('02_品质等级'!$H$2:$H$6,MATCH(C364,'02_品质等级'!$A$2:$A$6,0))</f>
        <v/>
      </c>
      <c r="J364" s="3">
        <f>E364*F364*G364*H364</f>
        <v/>
      </c>
      <c r="K364" s="3">
        <f>E364*F364*G364*I364</f>
        <v/>
      </c>
    </row>
    <row r="365">
      <c r="A365" s="2" t="inlineStr">
        <is>
          <t>暴击等级</t>
        </is>
      </c>
      <c r="B365" s="2" t="inlineStr">
        <is>
          <t>固定值</t>
        </is>
      </c>
      <c r="C365" s="2" t="inlineStr">
        <is>
          <t>绿</t>
        </is>
      </c>
      <c r="D365" s="2" t="n">
        <v>20</v>
      </c>
      <c r="E365" s="3">
        <f>INDEX('05_副属性基础'!$C$2:$C$11,MATCH(A365,'05_副属性基础'!$A$2:$A$11,0))</f>
        <v/>
      </c>
      <c r="F365" s="3">
        <f>INDEX('02_品质等级'!$D$2:$D$6,MATCH(C365,'02_品质等级'!$A$2:$A$6,0))</f>
        <v/>
      </c>
      <c r="G365" s="3">
        <f>INDEX('05_副属性基础'!$I$2:$I$13,MATCH(D365,'05_副属性基础'!$G$2:$G$13,0))</f>
        <v/>
      </c>
      <c r="H365" s="3">
        <f>INDEX('02_品质等级'!$G$2:$G$6,MATCH(C365,'02_品质等级'!$A$2:$A$6,0))</f>
        <v/>
      </c>
      <c r="I365" s="3">
        <f>INDEX('02_品质等级'!$H$2:$H$6,MATCH(C365,'02_品质等级'!$A$2:$A$6,0))</f>
        <v/>
      </c>
      <c r="J365" s="3">
        <f>E365*F365*G365*H365</f>
        <v/>
      </c>
      <c r="K365" s="3">
        <f>E365*F365*G365*I365</f>
        <v/>
      </c>
    </row>
    <row r="366">
      <c r="A366" s="2" t="inlineStr">
        <is>
          <t>暴击等级</t>
        </is>
      </c>
      <c r="B366" s="2" t="inlineStr">
        <is>
          <t>固定值</t>
        </is>
      </c>
      <c r="C366" s="2" t="inlineStr">
        <is>
          <t>绿</t>
        </is>
      </c>
      <c r="D366" s="2" t="n">
        <v>25</v>
      </c>
      <c r="E366" s="3">
        <f>INDEX('05_副属性基础'!$C$2:$C$11,MATCH(A366,'05_副属性基础'!$A$2:$A$11,0))</f>
        <v/>
      </c>
      <c r="F366" s="3">
        <f>INDEX('02_品质等级'!$D$2:$D$6,MATCH(C366,'02_品质等级'!$A$2:$A$6,0))</f>
        <v/>
      </c>
      <c r="G366" s="3">
        <f>INDEX('05_副属性基础'!$I$2:$I$13,MATCH(D366,'05_副属性基础'!$G$2:$G$13,0))</f>
        <v/>
      </c>
      <c r="H366" s="3">
        <f>INDEX('02_品质等级'!$G$2:$G$6,MATCH(C366,'02_品质等级'!$A$2:$A$6,0))</f>
        <v/>
      </c>
      <c r="I366" s="3">
        <f>INDEX('02_品质等级'!$H$2:$H$6,MATCH(C366,'02_品质等级'!$A$2:$A$6,0))</f>
        <v/>
      </c>
      <c r="J366" s="3">
        <f>E366*F366*G366*H366</f>
        <v/>
      </c>
      <c r="K366" s="3">
        <f>E366*F366*G366*I366</f>
        <v/>
      </c>
    </row>
    <row r="367">
      <c r="A367" s="2" t="inlineStr">
        <is>
          <t>暴击等级</t>
        </is>
      </c>
      <c r="B367" s="2" t="inlineStr">
        <is>
          <t>固定值</t>
        </is>
      </c>
      <c r="C367" s="2" t="inlineStr">
        <is>
          <t>绿</t>
        </is>
      </c>
      <c r="D367" s="2" t="n">
        <v>30</v>
      </c>
      <c r="E367" s="3">
        <f>INDEX('05_副属性基础'!$C$2:$C$11,MATCH(A367,'05_副属性基础'!$A$2:$A$11,0))</f>
        <v/>
      </c>
      <c r="F367" s="3">
        <f>INDEX('02_品质等级'!$D$2:$D$6,MATCH(C367,'02_品质等级'!$A$2:$A$6,0))</f>
        <v/>
      </c>
      <c r="G367" s="3">
        <f>INDEX('05_副属性基础'!$I$2:$I$13,MATCH(D367,'05_副属性基础'!$G$2:$G$13,0))</f>
        <v/>
      </c>
      <c r="H367" s="3">
        <f>INDEX('02_品质等级'!$G$2:$G$6,MATCH(C367,'02_品质等级'!$A$2:$A$6,0))</f>
        <v/>
      </c>
      <c r="I367" s="3">
        <f>INDEX('02_品质等级'!$H$2:$H$6,MATCH(C367,'02_品质等级'!$A$2:$A$6,0))</f>
        <v/>
      </c>
      <c r="J367" s="3">
        <f>E367*F367*G367*H367</f>
        <v/>
      </c>
      <c r="K367" s="3">
        <f>E367*F367*G367*I367</f>
        <v/>
      </c>
    </row>
    <row r="368">
      <c r="A368" s="2" t="inlineStr">
        <is>
          <t>暴击等级</t>
        </is>
      </c>
      <c r="B368" s="2" t="inlineStr">
        <is>
          <t>固定值</t>
        </is>
      </c>
      <c r="C368" s="2" t="inlineStr">
        <is>
          <t>绿</t>
        </is>
      </c>
      <c r="D368" s="2" t="n">
        <v>35</v>
      </c>
      <c r="E368" s="3">
        <f>INDEX('05_副属性基础'!$C$2:$C$11,MATCH(A368,'05_副属性基础'!$A$2:$A$11,0))</f>
        <v/>
      </c>
      <c r="F368" s="3">
        <f>INDEX('02_品质等级'!$D$2:$D$6,MATCH(C368,'02_品质等级'!$A$2:$A$6,0))</f>
        <v/>
      </c>
      <c r="G368" s="3">
        <f>INDEX('05_副属性基础'!$I$2:$I$13,MATCH(D368,'05_副属性基础'!$G$2:$G$13,0))</f>
        <v/>
      </c>
      <c r="H368" s="3">
        <f>INDEX('02_品质等级'!$G$2:$G$6,MATCH(C368,'02_品质等级'!$A$2:$A$6,0))</f>
        <v/>
      </c>
      <c r="I368" s="3">
        <f>INDEX('02_品质等级'!$H$2:$H$6,MATCH(C368,'02_品质等级'!$A$2:$A$6,0))</f>
        <v/>
      </c>
      <c r="J368" s="3">
        <f>E368*F368*G368*H368</f>
        <v/>
      </c>
      <c r="K368" s="3">
        <f>E368*F368*G368*I368</f>
        <v/>
      </c>
    </row>
    <row r="369">
      <c r="A369" s="2" t="inlineStr">
        <is>
          <t>暴击等级</t>
        </is>
      </c>
      <c r="B369" s="2" t="inlineStr">
        <is>
          <t>固定值</t>
        </is>
      </c>
      <c r="C369" s="2" t="inlineStr">
        <is>
          <t>绿</t>
        </is>
      </c>
      <c r="D369" s="2" t="n">
        <v>40</v>
      </c>
      <c r="E369" s="3">
        <f>INDEX('05_副属性基础'!$C$2:$C$11,MATCH(A369,'05_副属性基础'!$A$2:$A$11,0))</f>
        <v/>
      </c>
      <c r="F369" s="3">
        <f>INDEX('02_品质等级'!$D$2:$D$6,MATCH(C369,'02_品质等级'!$A$2:$A$6,0))</f>
        <v/>
      </c>
      <c r="G369" s="3">
        <f>INDEX('05_副属性基础'!$I$2:$I$13,MATCH(D369,'05_副属性基础'!$G$2:$G$13,0))</f>
        <v/>
      </c>
      <c r="H369" s="3">
        <f>INDEX('02_品质等级'!$G$2:$G$6,MATCH(C369,'02_品质等级'!$A$2:$A$6,0))</f>
        <v/>
      </c>
      <c r="I369" s="3">
        <f>INDEX('02_品质等级'!$H$2:$H$6,MATCH(C369,'02_品质等级'!$A$2:$A$6,0))</f>
        <v/>
      </c>
      <c r="J369" s="3">
        <f>E369*F369*G369*H369</f>
        <v/>
      </c>
      <c r="K369" s="3">
        <f>E369*F369*G369*I369</f>
        <v/>
      </c>
    </row>
    <row r="370">
      <c r="A370" s="2" t="inlineStr">
        <is>
          <t>暴击等级</t>
        </is>
      </c>
      <c r="B370" s="2" t="inlineStr">
        <is>
          <t>固定值</t>
        </is>
      </c>
      <c r="C370" s="2" t="inlineStr">
        <is>
          <t>绿</t>
        </is>
      </c>
      <c r="D370" s="2" t="n">
        <v>45</v>
      </c>
      <c r="E370" s="3">
        <f>INDEX('05_副属性基础'!$C$2:$C$11,MATCH(A370,'05_副属性基础'!$A$2:$A$11,0))</f>
        <v/>
      </c>
      <c r="F370" s="3">
        <f>INDEX('02_品质等级'!$D$2:$D$6,MATCH(C370,'02_品质等级'!$A$2:$A$6,0))</f>
        <v/>
      </c>
      <c r="G370" s="3">
        <f>INDEX('05_副属性基础'!$I$2:$I$13,MATCH(D370,'05_副属性基础'!$G$2:$G$13,0))</f>
        <v/>
      </c>
      <c r="H370" s="3">
        <f>INDEX('02_品质等级'!$G$2:$G$6,MATCH(C370,'02_品质等级'!$A$2:$A$6,0))</f>
        <v/>
      </c>
      <c r="I370" s="3">
        <f>INDEX('02_品质等级'!$H$2:$H$6,MATCH(C370,'02_品质等级'!$A$2:$A$6,0))</f>
        <v/>
      </c>
      <c r="J370" s="3">
        <f>E370*F370*G370*H370</f>
        <v/>
      </c>
      <c r="K370" s="3">
        <f>E370*F370*G370*I370</f>
        <v/>
      </c>
    </row>
    <row r="371">
      <c r="A371" s="2" t="inlineStr">
        <is>
          <t>暴击等级</t>
        </is>
      </c>
      <c r="B371" s="2" t="inlineStr">
        <is>
          <t>固定值</t>
        </is>
      </c>
      <c r="C371" s="2" t="inlineStr">
        <is>
          <t>绿</t>
        </is>
      </c>
      <c r="D371" s="2" t="n">
        <v>50</v>
      </c>
      <c r="E371" s="3">
        <f>INDEX('05_副属性基础'!$C$2:$C$11,MATCH(A371,'05_副属性基础'!$A$2:$A$11,0))</f>
        <v/>
      </c>
      <c r="F371" s="3">
        <f>INDEX('02_品质等级'!$D$2:$D$6,MATCH(C371,'02_品质等级'!$A$2:$A$6,0))</f>
        <v/>
      </c>
      <c r="G371" s="3">
        <f>INDEX('05_副属性基础'!$I$2:$I$13,MATCH(D371,'05_副属性基础'!$G$2:$G$13,0))</f>
        <v/>
      </c>
      <c r="H371" s="3">
        <f>INDEX('02_品质等级'!$G$2:$G$6,MATCH(C371,'02_品质等级'!$A$2:$A$6,0))</f>
        <v/>
      </c>
      <c r="I371" s="3">
        <f>INDEX('02_品质等级'!$H$2:$H$6,MATCH(C371,'02_品质等级'!$A$2:$A$6,0))</f>
        <v/>
      </c>
      <c r="J371" s="3">
        <f>E371*F371*G371*H371</f>
        <v/>
      </c>
      <c r="K371" s="3">
        <f>E371*F371*G371*I371</f>
        <v/>
      </c>
    </row>
    <row r="372">
      <c r="A372" s="2" t="inlineStr">
        <is>
          <t>暴击等级</t>
        </is>
      </c>
      <c r="B372" s="2" t="inlineStr">
        <is>
          <t>固定值</t>
        </is>
      </c>
      <c r="C372" s="2" t="inlineStr">
        <is>
          <t>绿</t>
        </is>
      </c>
      <c r="D372" s="2" t="n">
        <v>55</v>
      </c>
      <c r="E372" s="3">
        <f>INDEX('05_副属性基础'!$C$2:$C$11,MATCH(A372,'05_副属性基础'!$A$2:$A$11,0))</f>
        <v/>
      </c>
      <c r="F372" s="3">
        <f>INDEX('02_品质等级'!$D$2:$D$6,MATCH(C372,'02_品质等级'!$A$2:$A$6,0))</f>
        <v/>
      </c>
      <c r="G372" s="3">
        <f>INDEX('05_副属性基础'!$I$2:$I$13,MATCH(D372,'05_副属性基础'!$G$2:$G$13,0))</f>
        <v/>
      </c>
      <c r="H372" s="3">
        <f>INDEX('02_品质等级'!$G$2:$G$6,MATCH(C372,'02_品质等级'!$A$2:$A$6,0))</f>
        <v/>
      </c>
      <c r="I372" s="3">
        <f>INDEX('02_品质等级'!$H$2:$H$6,MATCH(C372,'02_品质等级'!$A$2:$A$6,0))</f>
        <v/>
      </c>
      <c r="J372" s="3">
        <f>E372*F372*G372*H372</f>
        <v/>
      </c>
      <c r="K372" s="3">
        <f>E372*F372*G372*I372</f>
        <v/>
      </c>
    </row>
    <row r="373">
      <c r="A373" s="2" t="inlineStr">
        <is>
          <t>暴击等级</t>
        </is>
      </c>
      <c r="B373" s="2" t="inlineStr">
        <is>
          <t>固定值</t>
        </is>
      </c>
      <c r="C373" s="2" t="inlineStr">
        <is>
          <t>绿</t>
        </is>
      </c>
      <c r="D373" s="2" t="n">
        <v>60</v>
      </c>
      <c r="E373" s="3">
        <f>INDEX('05_副属性基础'!$C$2:$C$11,MATCH(A373,'05_副属性基础'!$A$2:$A$11,0))</f>
        <v/>
      </c>
      <c r="F373" s="3">
        <f>INDEX('02_品质等级'!$D$2:$D$6,MATCH(C373,'02_品质等级'!$A$2:$A$6,0))</f>
        <v/>
      </c>
      <c r="G373" s="3">
        <f>INDEX('05_副属性基础'!$I$2:$I$13,MATCH(D373,'05_副属性基础'!$G$2:$G$13,0))</f>
        <v/>
      </c>
      <c r="H373" s="3">
        <f>INDEX('02_品质等级'!$G$2:$G$6,MATCH(C373,'02_品质等级'!$A$2:$A$6,0))</f>
        <v/>
      </c>
      <c r="I373" s="3">
        <f>INDEX('02_品质等级'!$H$2:$H$6,MATCH(C373,'02_品质等级'!$A$2:$A$6,0))</f>
        <v/>
      </c>
      <c r="J373" s="3">
        <f>E373*F373*G373*H373</f>
        <v/>
      </c>
      <c r="K373" s="3">
        <f>E373*F373*G373*I373</f>
        <v/>
      </c>
    </row>
    <row r="374">
      <c r="A374" s="2" t="inlineStr">
        <is>
          <t>暴击等级</t>
        </is>
      </c>
      <c r="B374" s="2" t="inlineStr">
        <is>
          <t>固定值</t>
        </is>
      </c>
      <c r="C374" s="2" t="inlineStr">
        <is>
          <t>蓝</t>
        </is>
      </c>
      <c r="D374" s="2" t="n">
        <v>5</v>
      </c>
      <c r="E374" s="3">
        <f>INDEX('05_副属性基础'!$C$2:$C$11,MATCH(A374,'05_副属性基础'!$A$2:$A$11,0))</f>
        <v/>
      </c>
      <c r="F374" s="3">
        <f>INDEX('02_品质等级'!$D$2:$D$6,MATCH(C374,'02_品质等级'!$A$2:$A$6,0))</f>
        <v/>
      </c>
      <c r="G374" s="3">
        <f>INDEX('05_副属性基础'!$I$2:$I$13,MATCH(D374,'05_副属性基础'!$G$2:$G$13,0))</f>
        <v/>
      </c>
      <c r="H374" s="3">
        <f>INDEX('02_品质等级'!$G$2:$G$6,MATCH(C374,'02_品质等级'!$A$2:$A$6,0))</f>
        <v/>
      </c>
      <c r="I374" s="3">
        <f>INDEX('02_品质等级'!$H$2:$H$6,MATCH(C374,'02_品质等级'!$A$2:$A$6,0))</f>
        <v/>
      </c>
      <c r="J374" s="3">
        <f>E374*F374*G374*H374</f>
        <v/>
      </c>
      <c r="K374" s="3">
        <f>E374*F374*G374*I374</f>
        <v/>
      </c>
    </row>
    <row r="375">
      <c r="A375" s="2" t="inlineStr">
        <is>
          <t>暴击等级</t>
        </is>
      </c>
      <c r="B375" s="2" t="inlineStr">
        <is>
          <t>固定值</t>
        </is>
      </c>
      <c r="C375" s="2" t="inlineStr">
        <is>
          <t>蓝</t>
        </is>
      </c>
      <c r="D375" s="2" t="n">
        <v>10</v>
      </c>
      <c r="E375" s="3">
        <f>INDEX('05_副属性基础'!$C$2:$C$11,MATCH(A375,'05_副属性基础'!$A$2:$A$11,0))</f>
        <v/>
      </c>
      <c r="F375" s="3">
        <f>INDEX('02_品质等级'!$D$2:$D$6,MATCH(C375,'02_品质等级'!$A$2:$A$6,0))</f>
        <v/>
      </c>
      <c r="G375" s="3">
        <f>INDEX('05_副属性基础'!$I$2:$I$13,MATCH(D375,'05_副属性基础'!$G$2:$G$13,0))</f>
        <v/>
      </c>
      <c r="H375" s="3">
        <f>INDEX('02_品质等级'!$G$2:$G$6,MATCH(C375,'02_品质等级'!$A$2:$A$6,0))</f>
        <v/>
      </c>
      <c r="I375" s="3">
        <f>INDEX('02_品质等级'!$H$2:$H$6,MATCH(C375,'02_品质等级'!$A$2:$A$6,0))</f>
        <v/>
      </c>
      <c r="J375" s="3">
        <f>E375*F375*G375*H375</f>
        <v/>
      </c>
      <c r="K375" s="3">
        <f>E375*F375*G375*I375</f>
        <v/>
      </c>
    </row>
    <row r="376">
      <c r="A376" s="2" t="inlineStr">
        <is>
          <t>暴击等级</t>
        </is>
      </c>
      <c r="B376" s="2" t="inlineStr">
        <is>
          <t>固定值</t>
        </is>
      </c>
      <c r="C376" s="2" t="inlineStr">
        <is>
          <t>蓝</t>
        </is>
      </c>
      <c r="D376" s="2" t="n">
        <v>15</v>
      </c>
      <c r="E376" s="3">
        <f>INDEX('05_副属性基础'!$C$2:$C$11,MATCH(A376,'05_副属性基础'!$A$2:$A$11,0))</f>
        <v/>
      </c>
      <c r="F376" s="3">
        <f>INDEX('02_品质等级'!$D$2:$D$6,MATCH(C376,'02_品质等级'!$A$2:$A$6,0))</f>
        <v/>
      </c>
      <c r="G376" s="3">
        <f>INDEX('05_副属性基础'!$I$2:$I$13,MATCH(D376,'05_副属性基础'!$G$2:$G$13,0))</f>
        <v/>
      </c>
      <c r="H376" s="3">
        <f>INDEX('02_品质等级'!$G$2:$G$6,MATCH(C376,'02_品质等级'!$A$2:$A$6,0))</f>
        <v/>
      </c>
      <c r="I376" s="3">
        <f>INDEX('02_品质等级'!$H$2:$H$6,MATCH(C376,'02_品质等级'!$A$2:$A$6,0))</f>
        <v/>
      </c>
      <c r="J376" s="3">
        <f>E376*F376*G376*H376</f>
        <v/>
      </c>
      <c r="K376" s="3">
        <f>E376*F376*G376*I376</f>
        <v/>
      </c>
    </row>
    <row r="377">
      <c r="A377" s="2" t="inlineStr">
        <is>
          <t>暴击等级</t>
        </is>
      </c>
      <c r="B377" s="2" t="inlineStr">
        <is>
          <t>固定值</t>
        </is>
      </c>
      <c r="C377" s="2" t="inlineStr">
        <is>
          <t>蓝</t>
        </is>
      </c>
      <c r="D377" s="2" t="n">
        <v>20</v>
      </c>
      <c r="E377" s="3">
        <f>INDEX('05_副属性基础'!$C$2:$C$11,MATCH(A377,'05_副属性基础'!$A$2:$A$11,0))</f>
        <v/>
      </c>
      <c r="F377" s="3">
        <f>INDEX('02_品质等级'!$D$2:$D$6,MATCH(C377,'02_品质等级'!$A$2:$A$6,0))</f>
        <v/>
      </c>
      <c r="G377" s="3">
        <f>INDEX('05_副属性基础'!$I$2:$I$13,MATCH(D377,'05_副属性基础'!$G$2:$G$13,0))</f>
        <v/>
      </c>
      <c r="H377" s="3">
        <f>INDEX('02_品质等级'!$G$2:$G$6,MATCH(C377,'02_品质等级'!$A$2:$A$6,0))</f>
        <v/>
      </c>
      <c r="I377" s="3">
        <f>INDEX('02_品质等级'!$H$2:$H$6,MATCH(C377,'02_品质等级'!$A$2:$A$6,0))</f>
        <v/>
      </c>
      <c r="J377" s="3">
        <f>E377*F377*G377*H377</f>
        <v/>
      </c>
      <c r="K377" s="3">
        <f>E377*F377*G377*I377</f>
        <v/>
      </c>
    </row>
    <row r="378">
      <c r="A378" s="2" t="inlineStr">
        <is>
          <t>暴击等级</t>
        </is>
      </c>
      <c r="B378" s="2" t="inlineStr">
        <is>
          <t>固定值</t>
        </is>
      </c>
      <c r="C378" s="2" t="inlineStr">
        <is>
          <t>蓝</t>
        </is>
      </c>
      <c r="D378" s="2" t="n">
        <v>25</v>
      </c>
      <c r="E378" s="3">
        <f>INDEX('05_副属性基础'!$C$2:$C$11,MATCH(A378,'05_副属性基础'!$A$2:$A$11,0))</f>
        <v/>
      </c>
      <c r="F378" s="3">
        <f>INDEX('02_品质等级'!$D$2:$D$6,MATCH(C378,'02_品质等级'!$A$2:$A$6,0))</f>
        <v/>
      </c>
      <c r="G378" s="3">
        <f>INDEX('05_副属性基础'!$I$2:$I$13,MATCH(D378,'05_副属性基础'!$G$2:$G$13,0))</f>
        <v/>
      </c>
      <c r="H378" s="3">
        <f>INDEX('02_品质等级'!$G$2:$G$6,MATCH(C378,'02_品质等级'!$A$2:$A$6,0))</f>
        <v/>
      </c>
      <c r="I378" s="3">
        <f>INDEX('02_品质等级'!$H$2:$H$6,MATCH(C378,'02_品质等级'!$A$2:$A$6,0))</f>
        <v/>
      </c>
      <c r="J378" s="3">
        <f>E378*F378*G378*H378</f>
        <v/>
      </c>
      <c r="K378" s="3">
        <f>E378*F378*G378*I378</f>
        <v/>
      </c>
    </row>
    <row r="379">
      <c r="A379" s="2" t="inlineStr">
        <is>
          <t>暴击等级</t>
        </is>
      </c>
      <c r="B379" s="2" t="inlineStr">
        <is>
          <t>固定值</t>
        </is>
      </c>
      <c r="C379" s="2" t="inlineStr">
        <is>
          <t>蓝</t>
        </is>
      </c>
      <c r="D379" s="2" t="n">
        <v>30</v>
      </c>
      <c r="E379" s="3">
        <f>INDEX('05_副属性基础'!$C$2:$C$11,MATCH(A379,'05_副属性基础'!$A$2:$A$11,0))</f>
        <v/>
      </c>
      <c r="F379" s="3">
        <f>INDEX('02_品质等级'!$D$2:$D$6,MATCH(C379,'02_品质等级'!$A$2:$A$6,0))</f>
        <v/>
      </c>
      <c r="G379" s="3">
        <f>INDEX('05_副属性基础'!$I$2:$I$13,MATCH(D379,'05_副属性基础'!$G$2:$G$13,0))</f>
        <v/>
      </c>
      <c r="H379" s="3">
        <f>INDEX('02_品质等级'!$G$2:$G$6,MATCH(C379,'02_品质等级'!$A$2:$A$6,0))</f>
        <v/>
      </c>
      <c r="I379" s="3">
        <f>INDEX('02_品质等级'!$H$2:$H$6,MATCH(C379,'02_品质等级'!$A$2:$A$6,0))</f>
        <v/>
      </c>
      <c r="J379" s="3">
        <f>E379*F379*G379*H379</f>
        <v/>
      </c>
      <c r="K379" s="3">
        <f>E379*F379*G379*I379</f>
        <v/>
      </c>
    </row>
    <row r="380">
      <c r="A380" s="2" t="inlineStr">
        <is>
          <t>暴击等级</t>
        </is>
      </c>
      <c r="B380" s="2" t="inlineStr">
        <is>
          <t>固定值</t>
        </is>
      </c>
      <c r="C380" s="2" t="inlineStr">
        <is>
          <t>蓝</t>
        </is>
      </c>
      <c r="D380" s="2" t="n">
        <v>35</v>
      </c>
      <c r="E380" s="3">
        <f>INDEX('05_副属性基础'!$C$2:$C$11,MATCH(A380,'05_副属性基础'!$A$2:$A$11,0))</f>
        <v/>
      </c>
      <c r="F380" s="3">
        <f>INDEX('02_品质等级'!$D$2:$D$6,MATCH(C380,'02_品质等级'!$A$2:$A$6,0))</f>
        <v/>
      </c>
      <c r="G380" s="3">
        <f>INDEX('05_副属性基础'!$I$2:$I$13,MATCH(D380,'05_副属性基础'!$G$2:$G$13,0))</f>
        <v/>
      </c>
      <c r="H380" s="3">
        <f>INDEX('02_品质等级'!$G$2:$G$6,MATCH(C380,'02_品质等级'!$A$2:$A$6,0))</f>
        <v/>
      </c>
      <c r="I380" s="3">
        <f>INDEX('02_品质等级'!$H$2:$H$6,MATCH(C380,'02_品质等级'!$A$2:$A$6,0))</f>
        <v/>
      </c>
      <c r="J380" s="3">
        <f>E380*F380*G380*H380</f>
        <v/>
      </c>
      <c r="K380" s="3">
        <f>E380*F380*G380*I380</f>
        <v/>
      </c>
    </row>
    <row r="381">
      <c r="A381" s="2" t="inlineStr">
        <is>
          <t>暴击等级</t>
        </is>
      </c>
      <c r="B381" s="2" t="inlineStr">
        <is>
          <t>固定值</t>
        </is>
      </c>
      <c r="C381" s="2" t="inlineStr">
        <is>
          <t>蓝</t>
        </is>
      </c>
      <c r="D381" s="2" t="n">
        <v>40</v>
      </c>
      <c r="E381" s="3">
        <f>INDEX('05_副属性基础'!$C$2:$C$11,MATCH(A381,'05_副属性基础'!$A$2:$A$11,0))</f>
        <v/>
      </c>
      <c r="F381" s="3">
        <f>INDEX('02_品质等级'!$D$2:$D$6,MATCH(C381,'02_品质等级'!$A$2:$A$6,0))</f>
        <v/>
      </c>
      <c r="G381" s="3">
        <f>INDEX('05_副属性基础'!$I$2:$I$13,MATCH(D381,'05_副属性基础'!$G$2:$G$13,0))</f>
        <v/>
      </c>
      <c r="H381" s="3">
        <f>INDEX('02_品质等级'!$G$2:$G$6,MATCH(C381,'02_品质等级'!$A$2:$A$6,0))</f>
        <v/>
      </c>
      <c r="I381" s="3">
        <f>INDEX('02_品质等级'!$H$2:$H$6,MATCH(C381,'02_品质等级'!$A$2:$A$6,0))</f>
        <v/>
      </c>
      <c r="J381" s="3">
        <f>E381*F381*G381*H381</f>
        <v/>
      </c>
      <c r="K381" s="3">
        <f>E381*F381*G381*I381</f>
        <v/>
      </c>
    </row>
    <row r="382">
      <c r="A382" s="2" t="inlineStr">
        <is>
          <t>暴击等级</t>
        </is>
      </c>
      <c r="B382" s="2" t="inlineStr">
        <is>
          <t>固定值</t>
        </is>
      </c>
      <c r="C382" s="2" t="inlineStr">
        <is>
          <t>蓝</t>
        </is>
      </c>
      <c r="D382" s="2" t="n">
        <v>45</v>
      </c>
      <c r="E382" s="3">
        <f>INDEX('05_副属性基础'!$C$2:$C$11,MATCH(A382,'05_副属性基础'!$A$2:$A$11,0))</f>
        <v/>
      </c>
      <c r="F382" s="3">
        <f>INDEX('02_品质等级'!$D$2:$D$6,MATCH(C382,'02_品质等级'!$A$2:$A$6,0))</f>
        <v/>
      </c>
      <c r="G382" s="3">
        <f>INDEX('05_副属性基础'!$I$2:$I$13,MATCH(D382,'05_副属性基础'!$G$2:$G$13,0))</f>
        <v/>
      </c>
      <c r="H382" s="3">
        <f>INDEX('02_品质等级'!$G$2:$G$6,MATCH(C382,'02_品质等级'!$A$2:$A$6,0))</f>
        <v/>
      </c>
      <c r="I382" s="3">
        <f>INDEX('02_品质等级'!$H$2:$H$6,MATCH(C382,'02_品质等级'!$A$2:$A$6,0))</f>
        <v/>
      </c>
      <c r="J382" s="3">
        <f>E382*F382*G382*H382</f>
        <v/>
      </c>
      <c r="K382" s="3">
        <f>E382*F382*G382*I382</f>
        <v/>
      </c>
    </row>
    <row r="383">
      <c r="A383" s="2" t="inlineStr">
        <is>
          <t>暴击等级</t>
        </is>
      </c>
      <c r="B383" s="2" t="inlineStr">
        <is>
          <t>固定值</t>
        </is>
      </c>
      <c r="C383" s="2" t="inlineStr">
        <is>
          <t>蓝</t>
        </is>
      </c>
      <c r="D383" s="2" t="n">
        <v>50</v>
      </c>
      <c r="E383" s="3">
        <f>INDEX('05_副属性基础'!$C$2:$C$11,MATCH(A383,'05_副属性基础'!$A$2:$A$11,0))</f>
        <v/>
      </c>
      <c r="F383" s="3">
        <f>INDEX('02_品质等级'!$D$2:$D$6,MATCH(C383,'02_品质等级'!$A$2:$A$6,0))</f>
        <v/>
      </c>
      <c r="G383" s="3">
        <f>INDEX('05_副属性基础'!$I$2:$I$13,MATCH(D383,'05_副属性基础'!$G$2:$G$13,0))</f>
        <v/>
      </c>
      <c r="H383" s="3">
        <f>INDEX('02_品质等级'!$G$2:$G$6,MATCH(C383,'02_品质等级'!$A$2:$A$6,0))</f>
        <v/>
      </c>
      <c r="I383" s="3">
        <f>INDEX('02_品质等级'!$H$2:$H$6,MATCH(C383,'02_品质等级'!$A$2:$A$6,0))</f>
        <v/>
      </c>
      <c r="J383" s="3">
        <f>E383*F383*G383*H383</f>
        <v/>
      </c>
      <c r="K383" s="3">
        <f>E383*F383*G383*I383</f>
        <v/>
      </c>
    </row>
    <row r="384">
      <c r="A384" s="2" t="inlineStr">
        <is>
          <t>暴击等级</t>
        </is>
      </c>
      <c r="B384" s="2" t="inlineStr">
        <is>
          <t>固定值</t>
        </is>
      </c>
      <c r="C384" s="2" t="inlineStr">
        <is>
          <t>蓝</t>
        </is>
      </c>
      <c r="D384" s="2" t="n">
        <v>55</v>
      </c>
      <c r="E384" s="3">
        <f>INDEX('05_副属性基础'!$C$2:$C$11,MATCH(A384,'05_副属性基础'!$A$2:$A$11,0))</f>
        <v/>
      </c>
      <c r="F384" s="3">
        <f>INDEX('02_品质等级'!$D$2:$D$6,MATCH(C384,'02_品质等级'!$A$2:$A$6,0))</f>
        <v/>
      </c>
      <c r="G384" s="3">
        <f>INDEX('05_副属性基础'!$I$2:$I$13,MATCH(D384,'05_副属性基础'!$G$2:$G$13,0))</f>
        <v/>
      </c>
      <c r="H384" s="3">
        <f>INDEX('02_品质等级'!$G$2:$G$6,MATCH(C384,'02_品质等级'!$A$2:$A$6,0))</f>
        <v/>
      </c>
      <c r="I384" s="3">
        <f>INDEX('02_品质等级'!$H$2:$H$6,MATCH(C384,'02_品质等级'!$A$2:$A$6,0))</f>
        <v/>
      </c>
      <c r="J384" s="3">
        <f>E384*F384*G384*H384</f>
        <v/>
      </c>
      <c r="K384" s="3">
        <f>E384*F384*G384*I384</f>
        <v/>
      </c>
    </row>
    <row r="385">
      <c r="A385" s="2" t="inlineStr">
        <is>
          <t>暴击等级</t>
        </is>
      </c>
      <c r="B385" s="2" t="inlineStr">
        <is>
          <t>固定值</t>
        </is>
      </c>
      <c r="C385" s="2" t="inlineStr">
        <is>
          <t>蓝</t>
        </is>
      </c>
      <c r="D385" s="2" t="n">
        <v>60</v>
      </c>
      <c r="E385" s="3">
        <f>INDEX('05_副属性基础'!$C$2:$C$11,MATCH(A385,'05_副属性基础'!$A$2:$A$11,0))</f>
        <v/>
      </c>
      <c r="F385" s="3">
        <f>INDEX('02_品质等级'!$D$2:$D$6,MATCH(C385,'02_品质等级'!$A$2:$A$6,0))</f>
        <v/>
      </c>
      <c r="G385" s="3">
        <f>INDEX('05_副属性基础'!$I$2:$I$13,MATCH(D385,'05_副属性基础'!$G$2:$G$13,0))</f>
        <v/>
      </c>
      <c r="H385" s="3">
        <f>INDEX('02_品质等级'!$G$2:$G$6,MATCH(C385,'02_品质等级'!$A$2:$A$6,0))</f>
        <v/>
      </c>
      <c r="I385" s="3">
        <f>INDEX('02_品质等级'!$H$2:$H$6,MATCH(C385,'02_品质等级'!$A$2:$A$6,0))</f>
        <v/>
      </c>
      <c r="J385" s="3">
        <f>E385*F385*G385*H385</f>
        <v/>
      </c>
      <c r="K385" s="3">
        <f>E385*F385*G385*I385</f>
        <v/>
      </c>
    </row>
    <row r="386">
      <c r="A386" s="2" t="inlineStr">
        <is>
          <t>暴击等级</t>
        </is>
      </c>
      <c r="B386" s="2" t="inlineStr">
        <is>
          <t>固定值</t>
        </is>
      </c>
      <c r="C386" s="2" t="inlineStr">
        <is>
          <t>紫</t>
        </is>
      </c>
      <c r="D386" s="2" t="n">
        <v>5</v>
      </c>
      <c r="E386" s="3">
        <f>INDEX('05_副属性基础'!$C$2:$C$11,MATCH(A386,'05_副属性基础'!$A$2:$A$11,0))</f>
        <v/>
      </c>
      <c r="F386" s="3">
        <f>INDEX('02_品质等级'!$D$2:$D$6,MATCH(C386,'02_品质等级'!$A$2:$A$6,0))</f>
        <v/>
      </c>
      <c r="G386" s="3">
        <f>INDEX('05_副属性基础'!$I$2:$I$13,MATCH(D386,'05_副属性基础'!$G$2:$G$13,0))</f>
        <v/>
      </c>
      <c r="H386" s="3">
        <f>INDEX('02_品质等级'!$G$2:$G$6,MATCH(C386,'02_品质等级'!$A$2:$A$6,0))</f>
        <v/>
      </c>
      <c r="I386" s="3">
        <f>INDEX('02_品质等级'!$H$2:$H$6,MATCH(C386,'02_品质等级'!$A$2:$A$6,0))</f>
        <v/>
      </c>
      <c r="J386" s="3">
        <f>E386*F386*G386*H386</f>
        <v/>
      </c>
      <c r="K386" s="3">
        <f>E386*F386*G386*I386</f>
        <v/>
      </c>
    </row>
    <row r="387">
      <c r="A387" s="2" t="inlineStr">
        <is>
          <t>暴击等级</t>
        </is>
      </c>
      <c r="B387" s="2" t="inlineStr">
        <is>
          <t>固定值</t>
        </is>
      </c>
      <c r="C387" s="2" t="inlineStr">
        <is>
          <t>紫</t>
        </is>
      </c>
      <c r="D387" s="2" t="n">
        <v>10</v>
      </c>
      <c r="E387" s="3">
        <f>INDEX('05_副属性基础'!$C$2:$C$11,MATCH(A387,'05_副属性基础'!$A$2:$A$11,0))</f>
        <v/>
      </c>
      <c r="F387" s="3">
        <f>INDEX('02_品质等级'!$D$2:$D$6,MATCH(C387,'02_品质等级'!$A$2:$A$6,0))</f>
        <v/>
      </c>
      <c r="G387" s="3">
        <f>INDEX('05_副属性基础'!$I$2:$I$13,MATCH(D387,'05_副属性基础'!$G$2:$G$13,0))</f>
        <v/>
      </c>
      <c r="H387" s="3">
        <f>INDEX('02_品质等级'!$G$2:$G$6,MATCH(C387,'02_品质等级'!$A$2:$A$6,0))</f>
        <v/>
      </c>
      <c r="I387" s="3">
        <f>INDEX('02_品质等级'!$H$2:$H$6,MATCH(C387,'02_品质等级'!$A$2:$A$6,0))</f>
        <v/>
      </c>
      <c r="J387" s="3">
        <f>E387*F387*G387*H387</f>
        <v/>
      </c>
      <c r="K387" s="3">
        <f>E387*F387*G387*I387</f>
        <v/>
      </c>
    </row>
    <row r="388">
      <c r="A388" s="2" t="inlineStr">
        <is>
          <t>暴击等级</t>
        </is>
      </c>
      <c r="B388" s="2" t="inlineStr">
        <is>
          <t>固定值</t>
        </is>
      </c>
      <c r="C388" s="2" t="inlineStr">
        <is>
          <t>紫</t>
        </is>
      </c>
      <c r="D388" s="2" t="n">
        <v>15</v>
      </c>
      <c r="E388" s="3">
        <f>INDEX('05_副属性基础'!$C$2:$C$11,MATCH(A388,'05_副属性基础'!$A$2:$A$11,0))</f>
        <v/>
      </c>
      <c r="F388" s="3">
        <f>INDEX('02_品质等级'!$D$2:$D$6,MATCH(C388,'02_品质等级'!$A$2:$A$6,0))</f>
        <v/>
      </c>
      <c r="G388" s="3">
        <f>INDEX('05_副属性基础'!$I$2:$I$13,MATCH(D388,'05_副属性基础'!$G$2:$G$13,0))</f>
        <v/>
      </c>
      <c r="H388" s="3">
        <f>INDEX('02_品质等级'!$G$2:$G$6,MATCH(C388,'02_品质等级'!$A$2:$A$6,0))</f>
        <v/>
      </c>
      <c r="I388" s="3">
        <f>INDEX('02_品质等级'!$H$2:$H$6,MATCH(C388,'02_品质等级'!$A$2:$A$6,0))</f>
        <v/>
      </c>
      <c r="J388" s="3">
        <f>E388*F388*G388*H388</f>
        <v/>
      </c>
      <c r="K388" s="3">
        <f>E388*F388*G388*I388</f>
        <v/>
      </c>
    </row>
    <row r="389">
      <c r="A389" s="2" t="inlineStr">
        <is>
          <t>暴击等级</t>
        </is>
      </c>
      <c r="B389" s="2" t="inlineStr">
        <is>
          <t>固定值</t>
        </is>
      </c>
      <c r="C389" s="2" t="inlineStr">
        <is>
          <t>紫</t>
        </is>
      </c>
      <c r="D389" s="2" t="n">
        <v>20</v>
      </c>
      <c r="E389" s="3">
        <f>INDEX('05_副属性基础'!$C$2:$C$11,MATCH(A389,'05_副属性基础'!$A$2:$A$11,0))</f>
        <v/>
      </c>
      <c r="F389" s="3">
        <f>INDEX('02_品质等级'!$D$2:$D$6,MATCH(C389,'02_品质等级'!$A$2:$A$6,0))</f>
        <v/>
      </c>
      <c r="G389" s="3">
        <f>INDEX('05_副属性基础'!$I$2:$I$13,MATCH(D389,'05_副属性基础'!$G$2:$G$13,0))</f>
        <v/>
      </c>
      <c r="H389" s="3">
        <f>INDEX('02_品质等级'!$G$2:$G$6,MATCH(C389,'02_品质等级'!$A$2:$A$6,0))</f>
        <v/>
      </c>
      <c r="I389" s="3">
        <f>INDEX('02_品质等级'!$H$2:$H$6,MATCH(C389,'02_品质等级'!$A$2:$A$6,0))</f>
        <v/>
      </c>
      <c r="J389" s="3">
        <f>E389*F389*G389*H389</f>
        <v/>
      </c>
      <c r="K389" s="3">
        <f>E389*F389*G389*I389</f>
        <v/>
      </c>
    </row>
    <row r="390">
      <c r="A390" s="2" t="inlineStr">
        <is>
          <t>暴击等级</t>
        </is>
      </c>
      <c r="B390" s="2" t="inlineStr">
        <is>
          <t>固定值</t>
        </is>
      </c>
      <c r="C390" s="2" t="inlineStr">
        <is>
          <t>紫</t>
        </is>
      </c>
      <c r="D390" s="2" t="n">
        <v>25</v>
      </c>
      <c r="E390" s="3">
        <f>INDEX('05_副属性基础'!$C$2:$C$11,MATCH(A390,'05_副属性基础'!$A$2:$A$11,0))</f>
        <v/>
      </c>
      <c r="F390" s="3">
        <f>INDEX('02_品质等级'!$D$2:$D$6,MATCH(C390,'02_品质等级'!$A$2:$A$6,0))</f>
        <v/>
      </c>
      <c r="G390" s="3">
        <f>INDEX('05_副属性基础'!$I$2:$I$13,MATCH(D390,'05_副属性基础'!$G$2:$G$13,0))</f>
        <v/>
      </c>
      <c r="H390" s="3">
        <f>INDEX('02_品质等级'!$G$2:$G$6,MATCH(C390,'02_品质等级'!$A$2:$A$6,0))</f>
        <v/>
      </c>
      <c r="I390" s="3">
        <f>INDEX('02_品质等级'!$H$2:$H$6,MATCH(C390,'02_品质等级'!$A$2:$A$6,0))</f>
        <v/>
      </c>
      <c r="J390" s="3">
        <f>E390*F390*G390*H390</f>
        <v/>
      </c>
      <c r="K390" s="3">
        <f>E390*F390*G390*I390</f>
        <v/>
      </c>
    </row>
    <row r="391">
      <c r="A391" s="2" t="inlineStr">
        <is>
          <t>暴击等级</t>
        </is>
      </c>
      <c r="B391" s="2" t="inlineStr">
        <is>
          <t>固定值</t>
        </is>
      </c>
      <c r="C391" s="2" t="inlineStr">
        <is>
          <t>紫</t>
        </is>
      </c>
      <c r="D391" s="2" t="n">
        <v>30</v>
      </c>
      <c r="E391" s="3">
        <f>INDEX('05_副属性基础'!$C$2:$C$11,MATCH(A391,'05_副属性基础'!$A$2:$A$11,0))</f>
        <v/>
      </c>
      <c r="F391" s="3">
        <f>INDEX('02_品质等级'!$D$2:$D$6,MATCH(C391,'02_品质等级'!$A$2:$A$6,0))</f>
        <v/>
      </c>
      <c r="G391" s="3">
        <f>INDEX('05_副属性基础'!$I$2:$I$13,MATCH(D391,'05_副属性基础'!$G$2:$G$13,0))</f>
        <v/>
      </c>
      <c r="H391" s="3">
        <f>INDEX('02_品质等级'!$G$2:$G$6,MATCH(C391,'02_品质等级'!$A$2:$A$6,0))</f>
        <v/>
      </c>
      <c r="I391" s="3">
        <f>INDEX('02_品质等级'!$H$2:$H$6,MATCH(C391,'02_品质等级'!$A$2:$A$6,0))</f>
        <v/>
      </c>
      <c r="J391" s="3">
        <f>E391*F391*G391*H391</f>
        <v/>
      </c>
      <c r="K391" s="3">
        <f>E391*F391*G391*I391</f>
        <v/>
      </c>
    </row>
    <row r="392">
      <c r="A392" s="2" t="inlineStr">
        <is>
          <t>暴击等级</t>
        </is>
      </c>
      <c r="B392" s="2" t="inlineStr">
        <is>
          <t>固定值</t>
        </is>
      </c>
      <c r="C392" s="2" t="inlineStr">
        <is>
          <t>紫</t>
        </is>
      </c>
      <c r="D392" s="2" t="n">
        <v>35</v>
      </c>
      <c r="E392" s="3">
        <f>INDEX('05_副属性基础'!$C$2:$C$11,MATCH(A392,'05_副属性基础'!$A$2:$A$11,0))</f>
        <v/>
      </c>
      <c r="F392" s="3">
        <f>INDEX('02_品质等级'!$D$2:$D$6,MATCH(C392,'02_品质等级'!$A$2:$A$6,0))</f>
        <v/>
      </c>
      <c r="G392" s="3">
        <f>INDEX('05_副属性基础'!$I$2:$I$13,MATCH(D392,'05_副属性基础'!$G$2:$G$13,0))</f>
        <v/>
      </c>
      <c r="H392" s="3">
        <f>INDEX('02_品质等级'!$G$2:$G$6,MATCH(C392,'02_品质等级'!$A$2:$A$6,0))</f>
        <v/>
      </c>
      <c r="I392" s="3">
        <f>INDEX('02_品质等级'!$H$2:$H$6,MATCH(C392,'02_品质等级'!$A$2:$A$6,0))</f>
        <v/>
      </c>
      <c r="J392" s="3">
        <f>E392*F392*G392*H392</f>
        <v/>
      </c>
      <c r="K392" s="3">
        <f>E392*F392*G392*I392</f>
        <v/>
      </c>
    </row>
    <row r="393">
      <c r="A393" s="2" t="inlineStr">
        <is>
          <t>暴击等级</t>
        </is>
      </c>
      <c r="B393" s="2" t="inlineStr">
        <is>
          <t>固定值</t>
        </is>
      </c>
      <c r="C393" s="2" t="inlineStr">
        <is>
          <t>紫</t>
        </is>
      </c>
      <c r="D393" s="2" t="n">
        <v>40</v>
      </c>
      <c r="E393" s="3">
        <f>INDEX('05_副属性基础'!$C$2:$C$11,MATCH(A393,'05_副属性基础'!$A$2:$A$11,0))</f>
        <v/>
      </c>
      <c r="F393" s="3">
        <f>INDEX('02_品质等级'!$D$2:$D$6,MATCH(C393,'02_品质等级'!$A$2:$A$6,0))</f>
        <v/>
      </c>
      <c r="G393" s="3">
        <f>INDEX('05_副属性基础'!$I$2:$I$13,MATCH(D393,'05_副属性基础'!$G$2:$G$13,0))</f>
        <v/>
      </c>
      <c r="H393" s="3">
        <f>INDEX('02_品质等级'!$G$2:$G$6,MATCH(C393,'02_品质等级'!$A$2:$A$6,0))</f>
        <v/>
      </c>
      <c r="I393" s="3">
        <f>INDEX('02_品质等级'!$H$2:$H$6,MATCH(C393,'02_品质等级'!$A$2:$A$6,0))</f>
        <v/>
      </c>
      <c r="J393" s="3">
        <f>E393*F393*G393*H393</f>
        <v/>
      </c>
      <c r="K393" s="3">
        <f>E393*F393*G393*I393</f>
        <v/>
      </c>
    </row>
    <row r="394">
      <c r="A394" s="2" t="inlineStr">
        <is>
          <t>暴击等级</t>
        </is>
      </c>
      <c r="B394" s="2" t="inlineStr">
        <is>
          <t>固定值</t>
        </is>
      </c>
      <c r="C394" s="2" t="inlineStr">
        <is>
          <t>紫</t>
        </is>
      </c>
      <c r="D394" s="2" t="n">
        <v>45</v>
      </c>
      <c r="E394" s="3">
        <f>INDEX('05_副属性基础'!$C$2:$C$11,MATCH(A394,'05_副属性基础'!$A$2:$A$11,0))</f>
        <v/>
      </c>
      <c r="F394" s="3">
        <f>INDEX('02_品质等级'!$D$2:$D$6,MATCH(C394,'02_品质等级'!$A$2:$A$6,0))</f>
        <v/>
      </c>
      <c r="G394" s="3">
        <f>INDEX('05_副属性基础'!$I$2:$I$13,MATCH(D394,'05_副属性基础'!$G$2:$G$13,0))</f>
        <v/>
      </c>
      <c r="H394" s="3">
        <f>INDEX('02_品质等级'!$G$2:$G$6,MATCH(C394,'02_品质等级'!$A$2:$A$6,0))</f>
        <v/>
      </c>
      <c r="I394" s="3">
        <f>INDEX('02_品质等级'!$H$2:$H$6,MATCH(C394,'02_品质等级'!$A$2:$A$6,0))</f>
        <v/>
      </c>
      <c r="J394" s="3">
        <f>E394*F394*G394*H394</f>
        <v/>
      </c>
      <c r="K394" s="3">
        <f>E394*F394*G394*I394</f>
        <v/>
      </c>
    </row>
    <row r="395">
      <c r="A395" s="2" t="inlineStr">
        <is>
          <t>暴击等级</t>
        </is>
      </c>
      <c r="B395" s="2" t="inlineStr">
        <is>
          <t>固定值</t>
        </is>
      </c>
      <c r="C395" s="2" t="inlineStr">
        <is>
          <t>紫</t>
        </is>
      </c>
      <c r="D395" s="2" t="n">
        <v>50</v>
      </c>
      <c r="E395" s="3">
        <f>INDEX('05_副属性基础'!$C$2:$C$11,MATCH(A395,'05_副属性基础'!$A$2:$A$11,0))</f>
        <v/>
      </c>
      <c r="F395" s="3">
        <f>INDEX('02_品质等级'!$D$2:$D$6,MATCH(C395,'02_品质等级'!$A$2:$A$6,0))</f>
        <v/>
      </c>
      <c r="G395" s="3">
        <f>INDEX('05_副属性基础'!$I$2:$I$13,MATCH(D395,'05_副属性基础'!$G$2:$G$13,0))</f>
        <v/>
      </c>
      <c r="H395" s="3">
        <f>INDEX('02_品质等级'!$G$2:$G$6,MATCH(C395,'02_品质等级'!$A$2:$A$6,0))</f>
        <v/>
      </c>
      <c r="I395" s="3">
        <f>INDEX('02_品质等级'!$H$2:$H$6,MATCH(C395,'02_品质等级'!$A$2:$A$6,0))</f>
        <v/>
      </c>
      <c r="J395" s="3">
        <f>E395*F395*G395*H395</f>
        <v/>
      </c>
      <c r="K395" s="3">
        <f>E395*F395*G395*I395</f>
        <v/>
      </c>
    </row>
    <row r="396">
      <c r="A396" s="2" t="inlineStr">
        <is>
          <t>暴击等级</t>
        </is>
      </c>
      <c r="B396" s="2" t="inlineStr">
        <is>
          <t>固定值</t>
        </is>
      </c>
      <c r="C396" s="2" t="inlineStr">
        <is>
          <t>紫</t>
        </is>
      </c>
      <c r="D396" s="2" t="n">
        <v>55</v>
      </c>
      <c r="E396" s="3">
        <f>INDEX('05_副属性基础'!$C$2:$C$11,MATCH(A396,'05_副属性基础'!$A$2:$A$11,0))</f>
        <v/>
      </c>
      <c r="F396" s="3">
        <f>INDEX('02_品质等级'!$D$2:$D$6,MATCH(C396,'02_品质等级'!$A$2:$A$6,0))</f>
        <v/>
      </c>
      <c r="G396" s="3">
        <f>INDEX('05_副属性基础'!$I$2:$I$13,MATCH(D396,'05_副属性基础'!$G$2:$G$13,0))</f>
        <v/>
      </c>
      <c r="H396" s="3">
        <f>INDEX('02_品质等级'!$G$2:$G$6,MATCH(C396,'02_品质等级'!$A$2:$A$6,0))</f>
        <v/>
      </c>
      <c r="I396" s="3">
        <f>INDEX('02_品质等级'!$H$2:$H$6,MATCH(C396,'02_品质等级'!$A$2:$A$6,0))</f>
        <v/>
      </c>
      <c r="J396" s="3">
        <f>E396*F396*G396*H396</f>
        <v/>
      </c>
      <c r="K396" s="3">
        <f>E396*F396*G396*I396</f>
        <v/>
      </c>
    </row>
    <row r="397">
      <c r="A397" s="2" t="inlineStr">
        <is>
          <t>暴击等级</t>
        </is>
      </c>
      <c r="B397" s="2" t="inlineStr">
        <is>
          <t>固定值</t>
        </is>
      </c>
      <c r="C397" s="2" t="inlineStr">
        <is>
          <t>紫</t>
        </is>
      </c>
      <c r="D397" s="2" t="n">
        <v>60</v>
      </c>
      <c r="E397" s="3">
        <f>INDEX('05_副属性基础'!$C$2:$C$11,MATCH(A397,'05_副属性基础'!$A$2:$A$11,0))</f>
        <v/>
      </c>
      <c r="F397" s="3">
        <f>INDEX('02_品质等级'!$D$2:$D$6,MATCH(C397,'02_品质等级'!$A$2:$A$6,0))</f>
        <v/>
      </c>
      <c r="G397" s="3">
        <f>INDEX('05_副属性基础'!$I$2:$I$13,MATCH(D397,'05_副属性基础'!$G$2:$G$13,0))</f>
        <v/>
      </c>
      <c r="H397" s="3">
        <f>INDEX('02_品质等级'!$G$2:$G$6,MATCH(C397,'02_品质等级'!$A$2:$A$6,0))</f>
        <v/>
      </c>
      <c r="I397" s="3">
        <f>INDEX('02_品质等级'!$H$2:$H$6,MATCH(C397,'02_品质等级'!$A$2:$A$6,0))</f>
        <v/>
      </c>
      <c r="J397" s="3">
        <f>E397*F397*G397*H397</f>
        <v/>
      </c>
      <c r="K397" s="3">
        <f>E397*F397*G397*I397</f>
        <v/>
      </c>
    </row>
    <row r="398">
      <c r="A398" s="2" t="inlineStr">
        <is>
          <t>暴击等级</t>
        </is>
      </c>
      <c r="B398" s="2" t="inlineStr">
        <is>
          <t>固定值</t>
        </is>
      </c>
      <c r="C398" s="2" t="inlineStr">
        <is>
          <t>金</t>
        </is>
      </c>
      <c r="D398" s="2" t="n">
        <v>5</v>
      </c>
      <c r="E398" s="3">
        <f>INDEX('05_副属性基础'!$C$2:$C$11,MATCH(A398,'05_副属性基础'!$A$2:$A$11,0))</f>
        <v/>
      </c>
      <c r="F398" s="3">
        <f>INDEX('02_品质等级'!$D$2:$D$6,MATCH(C398,'02_品质等级'!$A$2:$A$6,0))</f>
        <v/>
      </c>
      <c r="G398" s="3">
        <f>INDEX('05_副属性基础'!$I$2:$I$13,MATCH(D398,'05_副属性基础'!$G$2:$G$13,0))</f>
        <v/>
      </c>
      <c r="H398" s="3">
        <f>INDEX('02_品质等级'!$G$2:$G$6,MATCH(C398,'02_品质等级'!$A$2:$A$6,0))</f>
        <v/>
      </c>
      <c r="I398" s="3">
        <f>INDEX('02_品质等级'!$H$2:$H$6,MATCH(C398,'02_品质等级'!$A$2:$A$6,0))</f>
        <v/>
      </c>
      <c r="J398" s="3">
        <f>E398*F398*G398*H398</f>
        <v/>
      </c>
      <c r="K398" s="3">
        <f>E398*F398*G398*I398</f>
        <v/>
      </c>
    </row>
    <row r="399">
      <c r="A399" s="2" t="inlineStr">
        <is>
          <t>暴击等级</t>
        </is>
      </c>
      <c r="B399" s="2" t="inlineStr">
        <is>
          <t>固定值</t>
        </is>
      </c>
      <c r="C399" s="2" t="inlineStr">
        <is>
          <t>金</t>
        </is>
      </c>
      <c r="D399" s="2" t="n">
        <v>10</v>
      </c>
      <c r="E399" s="3">
        <f>INDEX('05_副属性基础'!$C$2:$C$11,MATCH(A399,'05_副属性基础'!$A$2:$A$11,0))</f>
        <v/>
      </c>
      <c r="F399" s="3">
        <f>INDEX('02_品质等级'!$D$2:$D$6,MATCH(C399,'02_品质等级'!$A$2:$A$6,0))</f>
        <v/>
      </c>
      <c r="G399" s="3">
        <f>INDEX('05_副属性基础'!$I$2:$I$13,MATCH(D399,'05_副属性基础'!$G$2:$G$13,0))</f>
        <v/>
      </c>
      <c r="H399" s="3">
        <f>INDEX('02_品质等级'!$G$2:$G$6,MATCH(C399,'02_品质等级'!$A$2:$A$6,0))</f>
        <v/>
      </c>
      <c r="I399" s="3">
        <f>INDEX('02_品质等级'!$H$2:$H$6,MATCH(C399,'02_品质等级'!$A$2:$A$6,0))</f>
        <v/>
      </c>
      <c r="J399" s="3">
        <f>E399*F399*G399*H399</f>
        <v/>
      </c>
      <c r="K399" s="3">
        <f>E399*F399*G399*I399</f>
        <v/>
      </c>
    </row>
    <row r="400">
      <c r="A400" s="2" t="inlineStr">
        <is>
          <t>暴击等级</t>
        </is>
      </c>
      <c r="B400" s="2" t="inlineStr">
        <is>
          <t>固定值</t>
        </is>
      </c>
      <c r="C400" s="2" t="inlineStr">
        <is>
          <t>金</t>
        </is>
      </c>
      <c r="D400" s="2" t="n">
        <v>15</v>
      </c>
      <c r="E400" s="3">
        <f>INDEX('05_副属性基础'!$C$2:$C$11,MATCH(A400,'05_副属性基础'!$A$2:$A$11,0))</f>
        <v/>
      </c>
      <c r="F400" s="3">
        <f>INDEX('02_品质等级'!$D$2:$D$6,MATCH(C400,'02_品质等级'!$A$2:$A$6,0))</f>
        <v/>
      </c>
      <c r="G400" s="3">
        <f>INDEX('05_副属性基础'!$I$2:$I$13,MATCH(D400,'05_副属性基础'!$G$2:$G$13,0))</f>
        <v/>
      </c>
      <c r="H400" s="3">
        <f>INDEX('02_品质等级'!$G$2:$G$6,MATCH(C400,'02_品质等级'!$A$2:$A$6,0))</f>
        <v/>
      </c>
      <c r="I400" s="3">
        <f>INDEX('02_品质等级'!$H$2:$H$6,MATCH(C400,'02_品质等级'!$A$2:$A$6,0))</f>
        <v/>
      </c>
      <c r="J400" s="3">
        <f>E400*F400*G400*H400</f>
        <v/>
      </c>
      <c r="K400" s="3">
        <f>E400*F400*G400*I400</f>
        <v/>
      </c>
    </row>
    <row r="401">
      <c r="A401" s="2" t="inlineStr">
        <is>
          <t>暴击等级</t>
        </is>
      </c>
      <c r="B401" s="2" t="inlineStr">
        <is>
          <t>固定值</t>
        </is>
      </c>
      <c r="C401" s="2" t="inlineStr">
        <is>
          <t>金</t>
        </is>
      </c>
      <c r="D401" s="2" t="n">
        <v>20</v>
      </c>
      <c r="E401" s="3">
        <f>INDEX('05_副属性基础'!$C$2:$C$11,MATCH(A401,'05_副属性基础'!$A$2:$A$11,0))</f>
        <v/>
      </c>
      <c r="F401" s="3">
        <f>INDEX('02_品质等级'!$D$2:$D$6,MATCH(C401,'02_品质等级'!$A$2:$A$6,0))</f>
        <v/>
      </c>
      <c r="G401" s="3">
        <f>INDEX('05_副属性基础'!$I$2:$I$13,MATCH(D401,'05_副属性基础'!$G$2:$G$13,0))</f>
        <v/>
      </c>
      <c r="H401" s="3">
        <f>INDEX('02_品质等级'!$G$2:$G$6,MATCH(C401,'02_品质等级'!$A$2:$A$6,0))</f>
        <v/>
      </c>
      <c r="I401" s="3">
        <f>INDEX('02_品质等级'!$H$2:$H$6,MATCH(C401,'02_品质等级'!$A$2:$A$6,0))</f>
        <v/>
      </c>
      <c r="J401" s="3">
        <f>E401*F401*G401*H401</f>
        <v/>
      </c>
      <c r="K401" s="3">
        <f>E401*F401*G401*I401</f>
        <v/>
      </c>
    </row>
    <row r="402">
      <c r="A402" s="2" t="inlineStr">
        <is>
          <t>暴击等级</t>
        </is>
      </c>
      <c r="B402" s="2" t="inlineStr">
        <is>
          <t>固定值</t>
        </is>
      </c>
      <c r="C402" s="2" t="inlineStr">
        <is>
          <t>金</t>
        </is>
      </c>
      <c r="D402" s="2" t="n">
        <v>25</v>
      </c>
      <c r="E402" s="3">
        <f>INDEX('05_副属性基础'!$C$2:$C$11,MATCH(A402,'05_副属性基础'!$A$2:$A$11,0))</f>
        <v/>
      </c>
      <c r="F402" s="3">
        <f>INDEX('02_品质等级'!$D$2:$D$6,MATCH(C402,'02_品质等级'!$A$2:$A$6,0))</f>
        <v/>
      </c>
      <c r="G402" s="3">
        <f>INDEX('05_副属性基础'!$I$2:$I$13,MATCH(D402,'05_副属性基础'!$G$2:$G$13,0))</f>
        <v/>
      </c>
      <c r="H402" s="3">
        <f>INDEX('02_品质等级'!$G$2:$G$6,MATCH(C402,'02_品质等级'!$A$2:$A$6,0))</f>
        <v/>
      </c>
      <c r="I402" s="3">
        <f>INDEX('02_品质等级'!$H$2:$H$6,MATCH(C402,'02_品质等级'!$A$2:$A$6,0))</f>
        <v/>
      </c>
      <c r="J402" s="3">
        <f>E402*F402*G402*H402</f>
        <v/>
      </c>
      <c r="K402" s="3">
        <f>E402*F402*G402*I402</f>
        <v/>
      </c>
    </row>
    <row r="403">
      <c r="A403" s="2" t="inlineStr">
        <is>
          <t>暴击等级</t>
        </is>
      </c>
      <c r="B403" s="2" t="inlineStr">
        <is>
          <t>固定值</t>
        </is>
      </c>
      <c r="C403" s="2" t="inlineStr">
        <is>
          <t>金</t>
        </is>
      </c>
      <c r="D403" s="2" t="n">
        <v>30</v>
      </c>
      <c r="E403" s="3">
        <f>INDEX('05_副属性基础'!$C$2:$C$11,MATCH(A403,'05_副属性基础'!$A$2:$A$11,0))</f>
        <v/>
      </c>
      <c r="F403" s="3">
        <f>INDEX('02_品质等级'!$D$2:$D$6,MATCH(C403,'02_品质等级'!$A$2:$A$6,0))</f>
        <v/>
      </c>
      <c r="G403" s="3">
        <f>INDEX('05_副属性基础'!$I$2:$I$13,MATCH(D403,'05_副属性基础'!$G$2:$G$13,0))</f>
        <v/>
      </c>
      <c r="H403" s="3">
        <f>INDEX('02_品质等级'!$G$2:$G$6,MATCH(C403,'02_品质等级'!$A$2:$A$6,0))</f>
        <v/>
      </c>
      <c r="I403" s="3">
        <f>INDEX('02_品质等级'!$H$2:$H$6,MATCH(C403,'02_品质等级'!$A$2:$A$6,0))</f>
        <v/>
      </c>
      <c r="J403" s="3">
        <f>E403*F403*G403*H403</f>
        <v/>
      </c>
      <c r="K403" s="3">
        <f>E403*F403*G403*I403</f>
        <v/>
      </c>
    </row>
    <row r="404">
      <c r="A404" s="2" t="inlineStr">
        <is>
          <t>暴击等级</t>
        </is>
      </c>
      <c r="B404" s="2" t="inlineStr">
        <is>
          <t>固定值</t>
        </is>
      </c>
      <c r="C404" s="2" t="inlineStr">
        <is>
          <t>金</t>
        </is>
      </c>
      <c r="D404" s="2" t="n">
        <v>35</v>
      </c>
      <c r="E404" s="3">
        <f>INDEX('05_副属性基础'!$C$2:$C$11,MATCH(A404,'05_副属性基础'!$A$2:$A$11,0))</f>
        <v/>
      </c>
      <c r="F404" s="3">
        <f>INDEX('02_品质等级'!$D$2:$D$6,MATCH(C404,'02_品质等级'!$A$2:$A$6,0))</f>
        <v/>
      </c>
      <c r="G404" s="3">
        <f>INDEX('05_副属性基础'!$I$2:$I$13,MATCH(D404,'05_副属性基础'!$G$2:$G$13,0))</f>
        <v/>
      </c>
      <c r="H404" s="3">
        <f>INDEX('02_品质等级'!$G$2:$G$6,MATCH(C404,'02_品质等级'!$A$2:$A$6,0))</f>
        <v/>
      </c>
      <c r="I404" s="3">
        <f>INDEX('02_品质等级'!$H$2:$H$6,MATCH(C404,'02_品质等级'!$A$2:$A$6,0))</f>
        <v/>
      </c>
      <c r="J404" s="3">
        <f>E404*F404*G404*H404</f>
        <v/>
      </c>
      <c r="K404" s="3">
        <f>E404*F404*G404*I404</f>
        <v/>
      </c>
    </row>
    <row r="405">
      <c r="A405" s="2" t="inlineStr">
        <is>
          <t>暴击等级</t>
        </is>
      </c>
      <c r="B405" s="2" t="inlineStr">
        <is>
          <t>固定值</t>
        </is>
      </c>
      <c r="C405" s="2" t="inlineStr">
        <is>
          <t>金</t>
        </is>
      </c>
      <c r="D405" s="2" t="n">
        <v>40</v>
      </c>
      <c r="E405" s="3">
        <f>INDEX('05_副属性基础'!$C$2:$C$11,MATCH(A405,'05_副属性基础'!$A$2:$A$11,0))</f>
        <v/>
      </c>
      <c r="F405" s="3">
        <f>INDEX('02_品质等级'!$D$2:$D$6,MATCH(C405,'02_品质等级'!$A$2:$A$6,0))</f>
        <v/>
      </c>
      <c r="G405" s="3">
        <f>INDEX('05_副属性基础'!$I$2:$I$13,MATCH(D405,'05_副属性基础'!$G$2:$G$13,0))</f>
        <v/>
      </c>
      <c r="H405" s="3">
        <f>INDEX('02_品质等级'!$G$2:$G$6,MATCH(C405,'02_品质等级'!$A$2:$A$6,0))</f>
        <v/>
      </c>
      <c r="I405" s="3">
        <f>INDEX('02_品质等级'!$H$2:$H$6,MATCH(C405,'02_品质等级'!$A$2:$A$6,0))</f>
        <v/>
      </c>
      <c r="J405" s="3">
        <f>E405*F405*G405*H405</f>
        <v/>
      </c>
      <c r="K405" s="3">
        <f>E405*F405*G405*I405</f>
        <v/>
      </c>
    </row>
    <row r="406">
      <c r="A406" s="2" t="inlineStr">
        <is>
          <t>暴击等级</t>
        </is>
      </c>
      <c r="B406" s="2" t="inlineStr">
        <is>
          <t>固定值</t>
        </is>
      </c>
      <c r="C406" s="2" t="inlineStr">
        <is>
          <t>金</t>
        </is>
      </c>
      <c r="D406" s="2" t="n">
        <v>45</v>
      </c>
      <c r="E406" s="3">
        <f>INDEX('05_副属性基础'!$C$2:$C$11,MATCH(A406,'05_副属性基础'!$A$2:$A$11,0))</f>
        <v/>
      </c>
      <c r="F406" s="3">
        <f>INDEX('02_品质等级'!$D$2:$D$6,MATCH(C406,'02_品质等级'!$A$2:$A$6,0))</f>
        <v/>
      </c>
      <c r="G406" s="3">
        <f>INDEX('05_副属性基础'!$I$2:$I$13,MATCH(D406,'05_副属性基础'!$G$2:$G$13,0))</f>
        <v/>
      </c>
      <c r="H406" s="3">
        <f>INDEX('02_品质等级'!$G$2:$G$6,MATCH(C406,'02_品质等级'!$A$2:$A$6,0))</f>
        <v/>
      </c>
      <c r="I406" s="3">
        <f>INDEX('02_品质等级'!$H$2:$H$6,MATCH(C406,'02_品质等级'!$A$2:$A$6,0))</f>
        <v/>
      </c>
      <c r="J406" s="3">
        <f>E406*F406*G406*H406</f>
        <v/>
      </c>
      <c r="K406" s="3">
        <f>E406*F406*G406*I406</f>
        <v/>
      </c>
    </row>
    <row r="407">
      <c r="A407" s="2" t="inlineStr">
        <is>
          <t>暴击等级</t>
        </is>
      </c>
      <c r="B407" s="2" t="inlineStr">
        <is>
          <t>固定值</t>
        </is>
      </c>
      <c r="C407" s="2" t="inlineStr">
        <is>
          <t>金</t>
        </is>
      </c>
      <c r="D407" s="2" t="n">
        <v>50</v>
      </c>
      <c r="E407" s="3">
        <f>INDEX('05_副属性基础'!$C$2:$C$11,MATCH(A407,'05_副属性基础'!$A$2:$A$11,0))</f>
        <v/>
      </c>
      <c r="F407" s="3">
        <f>INDEX('02_品质等级'!$D$2:$D$6,MATCH(C407,'02_品质等级'!$A$2:$A$6,0))</f>
        <v/>
      </c>
      <c r="G407" s="3">
        <f>INDEX('05_副属性基础'!$I$2:$I$13,MATCH(D407,'05_副属性基础'!$G$2:$G$13,0))</f>
        <v/>
      </c>
      <c r="H407" s="3">
        <f>INDEX('02_品质等级'!$G$2:$G$6,MATCH(C407,'02_品质等级'!$A$2:$A$6,0))</f>
        <v/>
      </c>
      <c r="I407" s="3">
        <f>INDEX('02_品质等级'!$H$2:$H$6,MATCH(C407,'02_品质等级'!$A$2:$A$6,0))</f>
        <v/>
      </c>
      <c r="J407" s="3">
        <f>E407*F407*G407*H407</f>
        <v/>
      </c>
      <c r="K407" s="3">
        <f>E407*F407*G407*I407</f>
        <v/>
      </c>
    </row>
    <row r="408">
      <c r="A408" s="2" t="inlineStr">
        <is>
          <t>暴击等级</t>
        </is>
      </c>
      <c r="B408" s="2" t="inlineStr">
        <is>
          <t>固定值</t>
        </is>
      </c>
      <c r="C408" s="2" t="inlineStr">
        <is>
          <t>金</t>
        </is>
      </c>
      <c r="D408" s="2" t="n">
        <v>55</v>
      </c>
      <c r="E408" s="3">
        <f>INDEX('05_副属性基础'!$C$2:$C$11,MATCH(A408,'05_副属性基础'!$A$2:$A$11,0))</f>
        <v/>
      </c>
      <c r="F408" s="3">
        <f>INDEX('02_品质等级'!$D$2:$D$6,MATCH(C408,'02_品质等级'!$A$2:$A$6,0))</f>
        <v/>
      </c>
      <c r="G408" s="3">
        <f>INDEX('05_副属性基础'!$I$2:$I$13,MATCH(D408,'05_副属性基础'!$G$2:$G$13,0))</f>
        <v/>
      </c>
      <c r="H408" s="3">
        <f>INDEX('02_品质等级'!$G$2:$G$6,MATCH(C408,'02_品质等级'!$A$2:$A$6,0))</f>
        <v/>
      </c>
      <c r="I408" s="3">
        <f>INDEX('02_品质等级'!$H$2:$H$6,MATCH(C408,'02_品质等级'!$A$2:$A$6,0))</f>
        <v/>
      </c>
      <c r="J408" s="3">
        <f>E408*F408*G408*H408</f>
        <v/>
      </c>
      <c r="K408" s="3">
        <f>E408*F408*G408*I408</f>
        <v/>
      </c>
    </row>
    <row r="409">
      <c r="A409" s="2" t="inlineStr">
        <is>
          <t>暴击等级</t>
        </is>
      </c>
      <c r="B409" s="2" t="inlineStr">
        <is>
          <t>固定值</t>
        </is>
      </c>
      <c r="C409" s="2" t="inlineStr">
        <is>
          <t>金</t>
        </is>
      </c>
      <c r="D409" s="2" t="n">
        <v>60</v>
      </c>
      <c r="E409" s="3">
        <f>INDEX('05_副属性基础'!$C$2:$C$11,MATCH(A409,'05_副属性基础'!$A$2:$A$11,0))</f>
        <v/>
      </c>
      <c r="F409" s="3">
        <f>INDEX('02_品质等级'!$D$2:$D$6,MATCH(C409,'02_品质等级'!$A$2:$A$6,0))</f>
        <v/>
      </c>
      <c r="G409" s="3">
        <f>INDEX('05_副属性基础'!$I$2:$I$13,MATCH(D409,'05_副属性基础'!$G$2:$G$13,0))</f>
        <v/>
      </c>
      <c r="H409" s="3">
        <f>INDEX('02_品质等级'!$G$2:$G$6,MATCH(C409,'02_品质等级'!$A$2:$A$6,0))</f>
        <v/>
      </c>
      <c r="I409" s="3">
        <f>INDEX('02_品质等级'!$H$2:$H$6,MATCH(C409,'02_品质等级'!$A$2:$A$6,0))</f>
        <v/>
      </c>
      <c r="J409" s="3">
        <f>E409*F409*G409*H409</f>
        <v/>
      </c>
      <c r="K409" s="3">
        <f>E409*F409*G409*I409</f>
        <v/>
      </c>
    </row>
    <row r="410">
      <c r="A410" s="2" t="inlineStr">
        <is>
          <t>暴击等级</t>
        </is>
      </c>
      <c r="B410" s="2" t="inlineStr">
        <is>
          <t>固定值</t>
        </is>
      </c>
      <c r="C410" s="2" t="inlineStr">
        <is>
          <t>红</t>
        </is>
      </c>
      <c r="D410" s="2" t="n">
        <v>5</v>
      </c>
      <c r="E410" s="3">
        <f>INDEX('05_副属性基础'!$C$2:$C$11,MATCH(A410,'05_副属性基础'!$A$2:$A$11,0))</f>
        <v/>
      </c>
      <c r="F410" s="3">
        <f>INDEX('02_品质等级'!$D$2:$D$6,MATCH(C410,'02_品质等级'!$A$2:$A$6,0))</f>
        <v/>
      </c>
      <c r="G410" s="3">
        <f>INDEX('05_副属性基础'!$I$2:$I$13,MATCH(D410,'05_副属性基础'!$G$2:$G$13,0))</f>
        <v/>
      </c>
      <c r="H410" s="3">
        <f>INDEX('02_品质等级'!$G$2:$G$6,MATCH(C410,'02_品质等级'!$A$2:$A$6,0))</f>
        <v/>
      </c>
      <c r="I410" s="3">
        <f>INDEX('02_品质等级'!$H$2:$H$6,MATCH(C410,'02_品质等级'!$A$2:$A$6,0))</f>
        <v/>
      </c>
      <c r="J410" s="3">
        <f>E410*F410*G410*H410</f>
        <v/>
      </c>
      <c r="K410" s="3">
        <f>E410*F410*G410*I410</f>
        <v/>
      </c>
    </row>
    <row r="411">
      <c r="A411" s="2" t="inlineStr">
        <is>
          <t>暴击等级</t>
        </is>
      </c>
      <c r="B411" s="2" t="inlineStr">
        <is>
          <t>固定值</t>
        </is>
      </c>
      <c r="C411" s="2" t="inlineStr">
        <is>
          <t>红</t>
        </is>
      </c>
      <c r="D411" s="2" t="n">
        <v>10</v>
      </c>
      <c r="E411" s="3">
        <f>INDEX('05_副属性基础'!$C$2:$C$11,MATCH(A411,'05_副属性基础'!$A$2:$A$11,0))</f>
        <v/>
      </c>
      <c r="F411" s="3">
        <f>INDEX('02_品质等级'!$D$2:$D$6,MATCH(C411,'02_品质等级'!$A$2:$A$6,0))</f>
        <v/>
      </c>
      <c r="G411" s="3">
        <f>INDEX('05_副属性基础'!$I$2:$I$13,MATCH(D411,'05_副属性基础'!$G$2:$G$13,0))</f>
        <v/>
      </c>
      <c r="H411" s="3">
        <f>INDEX('02_品质等级'!$G$2:$G$6,MATCH(C411,'02_品质等级'!$A$2:$A$6,0))</f>
        <v/>
      </c>
      <c r="I411" s="3">
        <f>INDEX('02_品质等级'!$H$2:$H$6,MATCH(C411,'02_品质等级'!$A$2:$A$6,0))</f>
        <v/>
      </c>
      <c r="J411" s="3">
        <f>E411*F411*G411*H411</f>
        <v/>
      </c>
      <c r="K411" s="3">
        <f>E411*F411*G411*I411</f>
        <v/>
      </c>
    </row>
    <row r="412">
      <c r="A412" s="2" t="inlineStr">
        <is>
          <t>暴击等级</t>
        </is>
      </c>
      <c r="B412" s="2" t="inlineStr">
        <is>
          <t>固定值</t>
        </is>
      </c>
      <c r="C412" s="2" t="inlineStr">
        <is>
          <t>红</t>
        </is>
      </c>
      <c r="D412" s="2" t="n">
        <v>15</v>
      </c>
      <c r="E412" s="3">
        <f>INDEX('05_副属性基础'!$C$2:$C$11,MATCH(A412,'05_副属性基础'!$A$2:$A$11,0))</f>
        <v/>
      </c>
      <c r="F412" s="3">
        <f>INDEX('02_品质等级'!$D$2:$D$6,MATCH(C412,'02_品质等级'!$A$2:$A$6,0))</f>
        <v/>
      </c>
      <c r="G412" s="3">
        <f>INDEX('05_副属性基础'!$I$2:$I$13,MATCH(D412,'05_副属性基础'!$G$2:$G$13,0))</f>
        <v/>
      </c>
      <c r="H412" s="3">
        <f>INDEX('02_品质等级'!$G$2:$G$6,MATCH(C412,'02_品质等级'!$A$2:$A$6,0))</f>
        <v/>
      </c>
      <c r="I412" s="3">
        <f>INDEX('02_品质等级'!$H$2:$H$6,MATCH(C412,'02_品质等级'!$A$2:$A$6,0))</f>
        <v/>
      </c>
      <c r="J412" s="3">
        <f>E412*F412*G412*H412</f>
        <v/>
      </c>
      <c r="K412" s="3">
        <f>E412*F412*G412*I412</f>
        <v/>
      </c>
    </row>
    <row r="413">
      <c r="A413" s="2" t="inlineStr">
        <is>
          <t>暴击等级</t>
        </is>
      </c>
      <c r="B413" s="2" t="inlineStr">
        <is>
          <t>固定值</t>
        </is>
      </c>
      <c r="C413" s="2" t="inlineStr">
        <is>
          <t>红</t>
        </is>
      </c>
      <c r="D413" s="2" t="n">
        <v>20</v>
      </c>
      <c r="E413" s="3">
        <f>INDEX('05_副属性基础'!$C$2:$C$11,MATCH(A413,'05_副属性基础'!$A$2:$A$11,0))</f>
        <v/>
      </c>
      <c r="F413" s="3">
        <f>INDEX('02_品质等级'!$D$2:$D$6,MATCH(C413,'02_品质等级'!$A$2:$A$6,0))</f>
        <v/>
      </c>
      <c r="G413" s="3">
        <f>INDEX('05_副属性基础'!$I$2:$I$13,MATCH(D413,'05_副属性基础'!$G$2:$G$13,0))</f>
        <v/>
      </c>
      <c r="H413" s="3">
        <f>INDEX('02_品质等级'!$G$2:$G$6,MATCH(C413,'02_品质等级'!$A$2:$A$6,0))</f>
        <v/>
      </c>
      <c r="I413" s="3">
        <f>INDEX('02_品质等级'!$H$2:$H$6,MATCH(C413,'02_品质等级'!$A$2:$A$6,0))</f>
        <v/>
      </c>
      <c r="J413" s="3">
        <f>E413*F413*G413*H413</f>
        <v/>
      </c>
      <c r="K413" s="3">
        <f>E413*F413*G413*I413</f>
        <v/>
      </c>
    </row>
    <row r="414">
      <c r="A414" s="2" t="inlineStr">
        <is>
          <t>暴击等级</t>
        </is>
      </c>
      <c r="B414" s="2" t="inlineStr">
        <is>
          <t>固定值</t>
        </is>
      </c>
      <c r="C414" s="2" t="inlineStr">
        <is>
          <t>红</t>
        </is>
      </c>
      <c r="D414" s="2" t="n">
        <v>25</v>
      </c>
      <c r="E414" s="3">
        <f>INDEX('05_副属性基础'!$C$2:$C$11,MATCH(A414,'05_副属性基础'!$A$2:$A$11,0))</f>
        <v/>
      </c>
      <c r="F414" s="3">
        <f>INDEX('02_品质等级'!$D$2:$D$6,MATCH(C414,'02_品质等级'!$A$2:$A$6,0))</f>
        <v/>
      </c>
      <c r="G414" s="3">
        <f>INDEX('05_副属性基础'!$I$2:$I$13,MATCH(D414,'05_副属性基础'!$G$2:$G$13,0))</f>
        <v/>
      </c>
      <c r="H414" s="3">
        <f>INDEX('02_品质等级'!$G$2:$G$6,MATCH(C414,'02_品质等级'!$A$2:$A$6,0))</f>
        <v/>
      </c>
      <c r="I414" s="3">
        <f>INDEX('02_品质等级'!$H$2:$H$6,MATCH(C414,'02_品质等级'!$A$2:$A$6,0))</f>
        <v/>
      </c>
      <c r="J414" s="3">
        <f>E414*F414*G414*H414</f>
        <v/>
      </c>
      <c r="K414" s="3">
        <f>E414*F414*G414*I414</f>
        <v/>
      </c>
    </row>
    <row r="415">
      <c r="A415" s="2" t="inlineStr">
        <is>
          <t>暴击等级</t>
        </is>
      </c>
      <c r="B415" s="2" t="inlineStr">
        <is>
          <t>固定值</t>
        </is>
      </c>
      <c r="C415" s="2" t="inlineStr">
        <is>
          <t>红</t>
        </is>
      </c>
      <c r="D415" s="2" t="n">
        <v>30</v>
      </c>
      <c r="E415" s="3">
        <f>INDEX('05_副属性基础'!$C$2:$C$11,MATCH(A415,'05_副属性基础'!$A$2:$A$11,0))</f>
        <v/>
      </c>
      <c r="F415" s="3">
        <f>INDEX('02_品质等级'!$D$2:$D$6,MATCH(C415,'02_品质等级'!$A$2:$A$6,0))</f>
        <v/>
      </c>
      <c r="G415" s="3">
        <f>INDEX('05_副属性基础'!$I$2:$I$13,MATCH(D415,'05_副属性基础'!$G$2:$G$13,0))</f>
        <v/>
      </c>
      <c r="H415" s="3">
        <f>INDEX('02_品质等级'!$G$2:$G$6,MATCH(C415,'02_品质等级'!$A$2:$A$6,0))</f>
        <v/>
      </c>
      <c r="I415" s="3">
        <f>INDEX('02_品质等级'!$H$2:$H$6,MATCH(C415,'02_品质等级'!$A$2:$A$6,0))</f>
        <v/>
      </c>
      <c r="J415" s="3">
        <f>E415*F415*G415*H415</f>
        <v/>
      </c>
      <c r="K415" s="3">
        <f>E415*F415*G415*I415</f>
        <v/>
      </c>
    </row>
    <row r="416">
      <c r="A416" s="2" t="inlineStr">
        <is>
          <t>暴击等级</t>
        </is>
      </c>
      <c r="B416" s="2" t="inlineStr">
        <is>
          <t>固定值</t>
        </is>
      </c>
      <c r="C416" s="2" t="inlineStr">
        <is>
          <t>红</t>
        </is>
      </c>
      <c r="D416" s="2" t="n">
        <v>35</v>
      </c>
      <c r="E416" s="3">
        <f>INDEX('05_副属性基础'!$C$2:$C$11,MATCH(A416,'05_副属性基础'!$A$2:$A$11,0))</f>
        <v/>
      </c>
      <c r="F416" s="3">
        <f>INDEX('02_品质等级'!$D$2:$D$6,MATCH(C416,'02_品质等级'!$A$2:$A$6,0))</f>
        <v/>
      </c>
      <c r="G416" s="3">
        <f>INDEX('05_副属性基础'!$I$2:$I$13,MATCH(D416,'05_副属性基础'!$G$2:$G$13,0))</f>
        <v/>
      </c>
      <c r="H416" s="3">
        <f>INDEX('02_品质等级'!$G$2:$G$6,MATCH(C416,'02_品质等级'!$A$2:$A$6,0))</f>
        <v/>
      </c>
      <c r="I416" s="3">
        <f>INDEX('02_品质等级'!$H$2:$H$6,MATCH(C416,'02_品质等级'!$A$2:$A$6,0))</f>
        <v/>
      </c>
      <c r="J416" s="3">
        <f>E416*F416*G416*H416</f>
        <v/>
      </c>
      <c r="K416" s="3">
        <f>E416*F416*G416*I416</f>
        <v/>
      </c>
    </row>
    <row r="417">
      <c r="A417" s="2" t="inlineStr">
        <is>
          <t>暴击等级</t>
        </is>
      </c>
      <c r="B417" s="2" t="inlineStr">
        <is>
          <t>固定值</t>
        </is>
      </c>
      <c r="C417" s="2" t="inlineStr">
        <is>
          <t>红</t>
        </is>
      </c>
      <c r="D417" s="2" t="n">
        <v>40</v>
      </c>
      <c r="E417" s="3">
        <f>INDEX('05_副属性基础'!$C$2:$C$11,MATCH(A417,'05_副属性基础'!$A$2:$A$11,0))</f>
        <v/>
      </c>
      <c r="F417" s="3">
        <f>INDEX('02_品质等级'!$D$2:$D$6,MATCH(C417,'02_品质等级'!$A$2:$A$6,0))</f>
        <v/>
      </c>
      <c r="G417" s="3">
        <f>INDEX('05_副属性基础'!$I$2:$I$13,MATCH(D417,'05_副属性基础'!$G$2:$G$13,0))</f>
        <v/>
      </c>
      <c r="H417" s="3">
        <f>INDEX('02_品质等级'!$G$2:$G$6,MATCH(C417,'02_品质等级'!$A$2:$A$6,0))</f>
        <v/>
      </c>
      <c r="I417" s="3">
        <f>INDEX('02_品质等级'!$H$2:$H$6,MATCH(C417,'02_品质等级'!$A$2:$A$6,0))</f>
        <v/>
      </c>
      <c r="J417" s="3">
        <f>E417*F417*G417*H417</f>
        <v/>
      </c>
      <c r="K417" s="3">
        <f>E417*F417*G417*I417</f>
        <v/>
      </c>
    </row>
    <row r="418">
      <c r="A418" s="2" t="inlineStr">
        <is>
          <t>暴击等级</t>
        </is>
      </c>
      <c r="B418" s="2" t="inlineStr">
        <is>
          <t>固定值</t>
        </is>
      </c>
      <c r="C418" s="2" t="inlineStr">
        <is>
          <t>红</t>
        </is>
      </c>
      <c r="D418" s="2" t="n">
        <v>45</v>
      </c>
      <c r="E418" s="3">
        <f>INDEX('05_副属性基础'!$C$2:$C$11,MATCH(A418,'05_副属性基础'!$A$2:$A$11,0))</f>
        <v/>
      </c>
      <c r="F418" s="3">
        <f>INDEX('02_品质等级'!$D$2:$D$6,MATCH(C418,'02_品质等级'!$A$2:$A$6,0))</f>
        <v/>
      </c>
      <c r="G418" s="3">
        <f>INDEX('05_副属性基础'!$I$2:$I$13,MATCH(D418,'05_副属性基础'!$G$2:$G$13,0))</f>
        <v/>
      </c>
      <c r="H418" s="3">
        <f>INDEX('02_品质等级'!$G$2:$G$6,MATCH(C418,'02_品质等级'!$A$2:$A$6,0))</f>
        <v/>
      </c>
      <c r="I418" s="3">
        <f>INDEX('02_品质等级'!$H$2:$H$6,MATCH(C418,'02_品质等级'!$A$2:$A$6,0))</f>
        <v/>
      </c>
      <c r="J418" s="3">
        <f>E418*F418*G418*H418</f>
        <v/>
      </c>
      <c r="K418" s="3">
        <f>E418*F418*G418*I418</f>
        <v/>
      </c>
    </row>
    <row r="419">
      <c r="A419" s="2" t="inlineStr">
        <is>
          <t>暴击等级</t>
        </is>
      </c>
      <c r="B419" s="2" t="inlineStr">
        <is>
          <t>固定值</t>
        </is>
      </c>
      <c r="C419" s="2" t="inlineStr">
        <is>
          <t>红</t>
        </is>
      </c>
      <c r="D419" s="2" t="n">
        <v>50</v>
      </c>
      <c r="E419" s="3">
        <f>INDEX('05_副属性基础'!$C$2:$C$11,MATCH(A419,'05_副属性基础'!$A$2:$A$11,0))</f>
        <v/>
      </c>
      <c r="F419" s="3">
        <f>INDEX('02_品质等级'!$D$2:$D$6,MATCH(C419,'02_品质等级'!$A$2:$A$6,0))</f>
        <v/>
      </c>
      <c r="G419" s="3">
        <f>INDEX('05_副属性基础'!$I$2:$I$13,MATCH(D419,'05_副属性基础'!$G$2:$G$13,0))</f>
        <v/>
      </c>
      <c r="H419" s="3">
        <f>INDEX('02_品质等级'!$G$2:$G$6,MATCH(C419,'02_品质等级'!$A$2:$A$6,0))</f>
        <v/>
      </c>
      <c r="I419" s="3">
        <f>INDEX('02_品质等级'!$H$2:$H$6,MATCH(C419,'02_品质等级'!$A$2:$A$6,0))</f>
        <v/>
      </c>
      <c r="J419" s="3">
        <f>E419*F419*G419*H419</f>
        <v/>
      </c>
      <c r="K419" s="3">
        <f>E419*F419*G419*I419</f>
        <v/>
      </c>
    </row>
    <row r="420">
      <c r="A420" s="2" t="inlineStr">
        <is>
          <t>暴击等级</t>
        </is>
      </c>
      <c r="B420" s="2" t="inlineStr">
        <is>
          <t>固定值</t>
        </is>
      </c>
      <c r="C420" s="2" t="inlineStr">
        <is>
          <t>红</t>
        </is>
      </c>
      <c r="D420" s="2" t="n">
        <v>55</v>
      </c>
      <c r="E420" s="3">
        <f>INDEX('05_副属性基础'!$C$2:$C$11,MATCH(A420,'05_副属性基础'!$A$2:$A$11,0))</f>
        <v/>
      </c>
      <c r="F420" s="3">
        <f>INDEX('02_品质等级'!$D$2:$D$6,MATCH(C420,'02_品质等级'!$A$2:$A$6,0))</f>
        <v/>
      </c>
      <c r="G420" s="3">
        <f>INDEX('05_副属性基础'!$I$2:$I$13,MATCH(D420,'05_副属性基础'!$G$2:$G$13,0))</f>
        <v/>
      </c>
      <c r="H420" s="3">
        <f>INDEX('02_品质等级'!$G$2:$G$6,MATCH(C420,'02_品质等级'!$A$2:$A$6,0))</f>
        <v/>
      </c>
      <c r="I420" s="3">
        <f>INDEX('02_品质等级'!$H$2:$H$6,MATCH(C420,'02_品质等级'!$A$2:$A$6,0))</f>
        <v/>
      </c>
      <c r="J420" s="3">
        <f>E420*F420*G420*H420</f>
        <v/>
      </c>
      <c r="K420" s="3">
        <f>E420*F420*G420*I420</f>
        <v/>
      </c>
    </row>
    <row r="421">
      <c r="A421" s="2" t="inlineStr">
        <is>
          <t>暴击等级</t>
        </is>
      </c>
      <c r="B421" s="2" t="inlineStr">
        <is>
          <t>固定值</t>
        </is>
      </c>
      <c r="C421" s="2" t="inlineStr">
        <is>
          <t>红</t>
        </is>
      </c>
      <c r="D421" s="2" t="n">
        <v>60</v>
      </c>
      <c r="E421" s="3">
        <f>INDEX('05_副属性基础'!$C$2:$C$11,MATCH(A421,'05_副属性基础'!$A$2:$A$11,0))</f>
        <v/>
      </c>
      <c r="F421" s="3">
        <f>INDEX('02_品质等级'!$D$2:$D$6,MATCH(C421,'02_品质等级'!$A$2:$A$6,0))</f>
        <v/>
      </c>
      <c r="G421" s="3">
        <f>INDEX('05_副属性基础'!$I$2:$I$13,MATCH(D421,'05_副属性基础'!$G$2:$G$13,0))</f>
        <v/>
      </c>
      <c r="H421" s="3">
        <f>INDEX('02_品质等级'!$G$2:$G$6,MATCH(C421,'02_品质等级'!$A$2:$A$6,0))</f>
        <v/>
      </c>
      <c r="I421" s="3">
        <f>INDEX('02_品质等级'!$H$2:$H$6,MATCH(C421,'02_品质等级'!$A$2:$A$6,0))</f>
        <v/>
      </c>
      <c r="J421" s="3">
        <f>E421*F421*G421*H421</f>
        <v/>
      </c>
      <c r="K421" s="3">
        <f>E421*F421*G421*I421</f>
        <v/>
      </c>
    </row>
    <row r="422">
      <c r="A422" s="2" t="inlineStr">
        <is>
          <t>暴击伤害等级</t>
        </is>
      </c>
      <c r="B422" s="2" t="inlineStr">
        <is>
          <t>固定值</t>
        </is>
      </c>
      <c r="C422" s="2" t="inlineStr">
        <is>
          <t>绿</t>
        </is>
      </c>
      <c r="D422" s="2" t="n">
        <v>5</v>
      </c>
      <c r="E422" s="3">
        <f>INDEX('05_副属性基础'!$C$2:$C$11,MATCH(A422,'05_副属性基础'!$A$2:$A$11,0))</f>
        <v/>
      </c>
      <c r="F422" s="3">
        <f>INDEX('02_品质等级'!$D$2:$D$6,MATCH(C422,'02_品质等级'!$A$2:$A$6,0))</f>
        <v/>
      </c>
      <c r="G422" s="3">
        <f>INDEX('05_副属性基础'!$I$2:$I$13,MATCH(D422,'05_副属性基础'!$G$2:$G$13,0))</f>
        <v/>
      </c>
      <c r="H422" s="3">
        <f>INDEX('02_品质等级'!$G$2:$G$6,MATCH(C422,'02_品质等级'!$A$2:$A$6,0))</f>
        <v/>
      </c>
      <c r="I422" s="3">
        <f>INDEX('02_品质等级'!$H$2:$H$6,MATCH(C422,'02_品质等级'!$A$2:$A$6,0))</f>
        <v/>
      </c>
      <c r="J422" s="3">
        <f>E422*F422*G422*H422</f>
        <v/>
      </c>
      <c r="K422" s="3">
        <f>E422*F422*G422*I422</f>
        <v/>
      </c>
    </row>
    <row r="423">
      <c r="A423" s="2" t="inlineStr">
        <is>
          <t>暴击伤害等级</t>
        </is>
      </c>
      <c r="B423" s="2" t="inlineStr">
        <is>
          <t>固定值</t>
        </is>
      </c>
      <c r="C423" s="2" t="inlineStr">
        <is>
          <t>绿</t>
        </is>
      </c>
      <c r="D423" s="2" t="n">
        <v>10</v>
      </c>
      <c r="E423" s="3">
        <f>INDEX('05_副属性基础'!$C$2:$C$11,MATCH(A423,'05_副属性基础'!$A$2:$A$11,0))</f>
        <v/>
      </c>
      <c r="F423" s="3">
        <f>INDEX('02_品质等级'!$D$2:$D$6,MATCH(C423,'02_品质等级'!$A$2:$A$6,0))</f>
        <v/>
      </c>
      <c r="G423" s="3">
        <f>INDEX('05_副属性基础'!$I$2:$I$13,MATCH(D423,'05_副属性基础'!$G$2:$G$13,0))</f>
        <v/>
      </c>
      <c r="H423" s="3">
        <f>INDEX('02_品质等级'!$G$2:$G$6,MATCH(C423,'02_品质等级'!$A$2:$A$6,0))</f>
        <v/>
      </c>
      <c r="I423" s="3">
        <f>INDEX('02_品质等级'!$H$2:$H$6,MATCH(C423,'02_品质等级'!$A$2:$A$6,0))</f>
        <v/>
      </c>
      <c r="J423" s="3">
        <f>E423*F423*G423*H423</f>
        <v/>
      </c>
      <c r="K423" s="3">
        <f>E423*F423*G423*I423</f>
        <v/>
      </c>
    </row>
    <row r="424">
      <c r="A424" s="2" t="inlineStr">
        <is>
          <t>暴击伤害等级</t>
        </is>
      </c>
      <c r="B424" s="2" t="inlineStr">
        <is>
          <t>固定值</t>
        </is>
      </c>
      <c r="C424" s="2" t="inlineStr">
        <is>
          <t>绿</t>
        </is>
      </c>
      <c r="D424" s="2" t="n">
        <v>15</v>
      </c>
      <c r="E424" s="3">
        <f>INDEX('05_副属性基础'!$C$2:$C$11,MATCH(A424,'05_副属性基础'!$A$2:$A$11,0))</f>
        <v/>
      </c>
      <c r="F424" s="3">
        <f>INDEX('02_品质等级'!$D$2:$D$6,MATCH(C424,'02_品质等级'!$A$2:$A$6,0))</f>
        <v/>
      </c>
      <c r="G424" s="3">
        <f>INDEX('05_副属性基础'!$I$2:$I$13,MATCH(D424,'05_副属性基础'!$G$2:$G$13,0))</f>
        <v/>
      </c>
      <c r="H424" s="3">
        <f>INDEX('02_品质等级'!$G$2:$G$6,MATCH(C424,'02_品质等级'!$A$2:$A$6,0))</f>
        <v/>
      </c>
      <c r="I424" s="3">
        <f>INDEX('02_品质等级'!$H$2:$H$6,MATCH(C424,'02_品质等级'!$A$2:$A$6,0))</f>
        <v/>
      </c>
      <c r="J424" s="3">
        <f>E424*F424*G424*H424</f>
        <v/>
      </c>
      <c r="K424" s="3">
        <f>E424*F424*G424*I424</f>
        <v/>
      </c>
    </row>
    <row r="425">
      <c r="A425" s="2" t="inlineStr">
        <is>
          <t>暴击伤害等级</t>
        </is>
      </c>
      <c r="B425" s="2" t="inlineStr">
        <is>
          <t>固定值</t>
        </is>
      </c>
      <c r="C425" s="2" t="inlineStr">
        <is>
          <t>绿</t>
        </is>
      </c>
      <c r="D425" s="2" t="n">
        <v>20</v>
      </c>
      <c r="E425" s="3">
        <f>INDEX('05_副属性基础'!$C$2:$C$11,MATCH(A425,'05_副属性基础'!$A$2:$A$11,0))</f>
        <v/>
      </c>
      <c r="F425" s="3">
        <f>INDEX('02_品质等级'!$D$2:$D$6,MATCH(C425,'02_品质等级'!$A$2:$A$6,0))</f>
        <v/>
      </c>
      <c r="G425" s="3">
        <f>INDEX('05_副属性基础'!$I$2:$I$13,MATCH(D425,'05_副属性基础'!$G$2:$G$13,0))</f>
        <v/>
      </c>
      <c r="H425" s="3">
        <f>INDEX('02_品质等级'!$G$2:$G$6,MATCH(C425,'02_品质等级'!$A$2:$A$6,0))</f>
        <v/>
      </c>
      <c r="I425" s="3">
        <f>INDEX('02_品质等级'!$H$2:$H$6,MATCH(C425,'02_品质等级'!$A$2:$A$6,0))</f>
        <v/>
      </c>
      <c r="J425" s="3">
        <f>E425*F425*G425*H425</f>
        <v/>
      </c>
      <c r="K425" s="3">
        <f>E425*F425*G425*I425</f>
        <v/>
      </c>
    </row>
    <row r="426">
      <c r="A426" s="2" t="inlineStr">
        <is>
          <t>暴击伤害等级</t>
        </is>
      </c>
      <c r="B426" s="2" t="inlineStr">
        <is>
          <t>固定值</t>
        </is>
      </c>
      <c r="C426" s="2" t="inlineStr">
        <is>
          <t>绿</t>
        </is>
      </c>
      <c r="D426" s="2" t="n">
        <v>25</v>
      </c>
      <c r="E426" s="3">
        <f>INDEX('05_副属性基础'!$C$2:$C$11,MATCH(A426,'05_副属性基础'!$A$2:$A$11,0))</f>
        <v/>
      </c>
      <c r="F426" s="3">
        <f>INDEX('02_品质等级'!$D$2:$D$6,MATCH(C426,'02_品质等级'!$A$2:$A$6,0))</f>
        <v/>
      </c>
      <c r="G426" s="3">
        <f>INDEX('05_副属性基础'!$I$2:$I$13,MATCH(D426,'05_副属性基础'!$G$2:$G$13,0))</f>
        <v/>
      </c>
      <c r="H426" s="3">
        <f>INDEX('02_品质等级'!$G$2:$G$6,MATCH(C426,'02_品质等级'!$A$2:$A$6,0))</f>
        <v/>
      </c>
      <c r="I426" s="3">
        <f>INDEX('02_品质等级'!$H$2:$H$6,MATCH(C426,'02_品质等级'!$A$2:$A$6,0))</f>
        <v/>
      </c>
      <c r="J426" s="3">
        <f>E426*F426*G426*H426</f>
        <v/>
      </c>
      <c r="K426" s="3">
        <f>E426*F426*G426*I426</f>
        <v/>
      </c>
    </row>
    <row r="427">
      <c r="A427" s="2" t="inlineStr">
        <is>
          <t>暴击伤害等级</t>
        </is>
      </c>
      <c r="B427" s="2" t="inlineStr">
        <is>
          <t>固定值</t>
        </is>
      </c>
      <c r="C427" s="2" t="inlineStr">
        <is>
          <t>绿</t>
        </is>
      </c>
      <c r="D427" s="2" t="n">
        <v>30</v>
      </c>
      <c r="E427" s="3">
        <f>INDEX('05_副属性基础'!$C$2:$C$11,MATCH(A427,'05_副属性基础'!$A$2:$A$11,0))</f>
        <v/>
      </c>
      <c r="F427" s="3">
        <f>INDEX('02_品质等级'!$D$2:$D$6,MATCH(C427,'02_品质等级'!$A$2:$A$6,0))</f>
        <v/>
      </c>
      <c r="G427" s="3">
        <f>INDEX('05_副属性基础'!$I$2:$I$13,MATCH(D427,'05_副属性基础'!$G$2:$G$13,0))</f>
        <v/>
      </c>
      <c r="H427" s="3">
        <f>INDEX('02_品质等级'!$G$2:$G$6,MATCH(C427,'02_品质等级'!$A$2:$A$6,0))</f>
        <v/>
      </c>
      <c r="I427" s="3">
        <f>INDEX('02_品质等级'!$H$2:$H$6,MATCH(C427,'02_品质等级'!$A$2:$A$6,0))</f>
        <v/>
      </c>
      <c r="J427" s="3">
        <f>E427*F427*G427*H427</f>
        <v/>
      </c>
      <c r="K427" s="3">
        <f>E427*F427*G427*I427</f>
        <v/>
      </c>
    </row>
    <row r="428">
      <c r="A428" s="2" t="inlineStr">
        <is>
          <t>暴击伤害等级</t>
        </is>
      </c>
      <c r="B428" s="2" t="inlineStr">
        <is>
          <t>固定值</t>
        </is>
      </c>
      <c r="C428" s="2" t="inlineStr">
        <is>
          <t>绿</t>
        </is>
      </c>
      <c r="D428" s="2" t="n">
        <v>35</v>
      </c>
      <c r="E428" s="3">
        <f>INDEX('05_副属性基础'!$C$2:$C$11,MATCH(A428,'05_副属性基础'!$A$2:$A$11,0))</f>
        <v/>
      </c>
      <c r="F428" s="3">
        <f>INDEX('02_品质等级'!$D$2:$D$6,MATCH(C428,'02_品质等级'!$A$2:$A$6,0))</f>
        <v/>
      </c>
      <c r="G428" s="3">
        <f>INDEX('05_副属性基础'!$I$2:$I$13,MATCH(D428,'05_副属性基础'!$G$2:$G$13,0))</f>
        <v/>
      </c>
      <c r="H428" s="3">
        <f>INDEX('02_品质等级'!$G$2:$G$6,MATCH(C428,'02_品质等级'!$A$2:$A$6,0))</f>
        <v/>
      </c>
      <c r="I428" s="3">
        <f>INDEX('02_品质等级'!$H$2:$H$6,MATCH(C428,'02_品质等级'!$A$2:$A$6,0))</f>
        <v/>
      </c>
      <c r="J428" s="3">
        <f>E428*F428*G428*H428</f>
        <v/>
      </c>
      <c r="K428" s="3">
        <f>E428*F428*G428*I428</f>
        <v/>
      </c>
    </row>
    <row r="429">
      <c r="A429" s="2" t="inlineStr">
        <is>
          <t>暴击伤害等级</t>
        </is>
      </c>
      <c r="B429" s="2" t="inlineStr">
        <is>
          <t>固定值</t>
        </is>
      </c>
      <c r="C429" s="2" t="inlineStr">
        <is>
          <t>绿</t>
        </is>
      </c>
      <c r="D429" s="2" t="n">
        <v>40</v>
      </c>
      <c r="E429" s="3">
        <f>INDEX('05_副属性基础'!$C$2:$C$11,MATCH(A429,'05_副属性基础'!$A$2:$A$11,0))</f>
        <v/>
      </c>
      <c r="F429" s="3">
        <f>INDEX('02_品质等级'!$D$2:$D$6,MATCH(C429,'02_品质等级'!$A$2:$A$6,0))</f>
        <v/>
      </c>
      <c r="G429" s="3">
        <f>INDEX('05_副属性基础'!$I$2:$I$13,MATCH(D429,'05_副属性基础'!$G$2:$G$13,0))</f>
        <v/>
      </c>
      <c r="H429" s="3">
        <f>INDEX('02_品质等级'!$G$2:$G$6,MATCH(C429,'02_品质等级'!$A$2:$A$6,0))</f>
        <v/>
      </c>
      <c r="I429" s="3">
        <f>INDEX('02_品质等级'!$H$2:$H$6,MATCH(C429,'02_品质等级'!$A$2:$A$6,0))</f>
        <v/>
      </c>
      <c r="J429" s="3">
        <f>E429*F429*G429*H429</f>
        <v/>
      </c>
      <c r="K429" s="3">
        <f>E429*F429*G429*I429</f>
        <v/>
      </c>
    </row>
    <row r="430">
      <c r="A430" s="2" t="inlineStr">
        <is>
          <t>暴击伤害等级</t>
        </is>
      </c>
      <c r="B430" s="2" t="inlineStr">
        <is>
          <t>固定值</t>
        </is>
      </c>
      <c r="C430" s="2" t="inlineStr">
        <is>
          <t>绿</t>
        </is>
      </c>
      <c r="D430" s="2" t="n">
        <v>45</v>
      </c>
      <c r="E430" s="3">
        <f>INDEX('05_副属性基础'!$C$2:$C$11,MATCH(A430,'05_副属性基础'!$A$2:$A$11,0))</f>
        <v/>
      </c>
      <c r="F430" s="3">
        <f>INDEX('02_品质等级'!$D$2:$D$6,MATCH(C430,'02_品质等级'!$A$2:$A$6,0))</f>
        <v/>
      </c>
      <c r="G430" s="3">
        <f>INDEX('05_副属性基础'!$I$2:$I$13,MATCH(D430,'05_副属性基础'!$G$2:$G$13,0))</f>
        <v/>
      </c>
      <c r="H430" s="3">
        <f>INDEX('02_品质等级'!$G$2:$G$6,MATCH(C430,'02_品质等级'!$A$2:$A$6,0))</f>
        <v/>
      </c>
      <c r="I430" s="3">
        <f>INDEX('02_品质等级'!$H$2:$H$6,MATCH(C430,'02_品质等级'!$A$2:$A$6,0))</f>
        <v/>
      </c>
      <c r="J430" s="3">
        <f>E430*F430*G430*H430</f>
        <v/>
      </c>
      <c r="K430" s="3">
        <f>E430*F430*G430*I430</f>
        <v/>
      </c>
    </row>
    <row r="431">
      <c r="A431" s="2" t="inlineStr">
        <is>
          <t>暴击伤害等级</t>
        </is>
      </c>
      <c r="B431" s="2" t="inlineStr">
        <is>
          <t>固定值</t>
        </is>
      </c>
      <c r="C431" s="2" t="inlineStr">
        <is>
          <t>绿</t>
        </is>
      </c>
      <c r="D431" s="2" t="n">
        <v>50</v>
      </c>
      <c r="E431" s="3">
        <f>INDEX('05_副属性基础'!$C$2:$C$11,MATCH(A431,'05_副属性基础'!$A$2:$A$11,0))</f>
        <v/>
      </c>
      <c r="F431" s="3">
        <f>INDEX('02_品质等级'!$D$2:$D$6,MATCH(C431,'02_品质等级'!$A$2:$A$6,0))</f>
        <v/>
      </c>
      <c r="G431" s="3">
        <f>INDEX('05_副属性基础'!$I$2:$I$13,MATCH(D431,'05_副属性基础'!$G$2:$G$13,0))</f>
        <v/>
      </c>
      <c r="H431" s="3">
        <f>INDEX('02_品质等级'!$G$2:$G$6,MATCH(C431,'02_品质等级'!$A$2:$A$6,0))</f>
        <v/>
      </c>
      <c r="I431" s="3">
        <f>INDEX('02_品质等级'!$H$2:$H$6,MATCH(C431,'02_品质等级'!$A$2:$A$6,0))</f>
        <v/>
      </c>
      <c r="J431" s="3">
        <f>E431*F431*G431*H431</f>
        <v/>
      </c>
      <c r="K431" s="3">
        <f>E431*F431*G431*I431</f>
        <v/>
      </c>
    </row>
    <row r="432">
      <c r="A432" s="2" t="inlineStr">
        <is>
          <t>暴击伤害等级</t>
        </is>
      </c>
      <c r="B432" s="2" t="inlineStr">
        <is>
          <t>固定值</t>
        </is>
      </c>
      <c r="C432" s="2" t="inlineStr">
        <is>
          <t>绿</t>
        </is>
      </c>
      <c r="D432" s="2" t="n">
        <v>55</v>
      </c>
      <c r="E432" s="3">
        <f>INDEX('05_副属性基础'!$C$2:$C$11,MATCH(A432,'05_副属性基础'!$A$2:$A$11,0))</f>
        <v/>
      </c>
      <c r="F432" s="3">
        <f>INDEX('02_品质等级'!$D$2:$D$6,MATCH(C432,'02_品质等级'!$A$2:$A$6,0))</f>
        <v/>
      </c>
      <c r="G432" s="3">
        <f>INDEX('05_副属性基础'!$I$2:$I$13,MATCH(D432,'05_副属性基础'!$G$2:$G$13,0))</f>
        <v/>
      </c>
      <c r="H432" s="3">
        <f>INDEX('02_品质等级'!$G$2:$G$6,MATCH(C432,'02_品质等级'!$A$2:$A$6,0))</f>
        <v/>
      </c>
      <c r="I432" s="3">
        <f>INDEX('02_品质等级'!$H$2:$H$6,MATCH(C432,'02_品质等级'!$A$2:$A$6,0))</f>
        <v/>
      </c>
      <c r="J432" s="3">
        <f>E432*F432*G432*H432</f>
        <v/>
      </c>
      <c r="K432" s="3">
        <f>E432*F432*G432*I432</f>
        <v/>
      </c>
    </row>
    <row r="433">
      <c r="A433" s="2" t="inlineStr">
        <is>
          <t>暴击伤害等级</t>
        </is>
      </c>
      <c r="B433" s="2" t="inlineStr">
        <is>
          <t>固定值</t>
        </is>
      </c>
      <c r="C433" s="2" t="inlineStr">
        <is>
          <t>绿</t>
        </is>
      </c>
      <c r="D433" s="2" t="n">
        <v>60</v>
      </c>
      <c r="E433" s="3">
        <f>INDEX('05_副属性基础'!$C$2:$C$11,MATCH(A433,'05_副属性基础'!$A$2:$A$11,0))</f>
        <v/>
      </c>
      <c r="F433" s="3">
        <f>INDEX('02_品质等级'!$D$2:$D$6,MATCH(C433,'02_品质等级'!$A$2:$A$6,0))</f>
        <v/>
      </c>
      <c r="G433" s="3">
        <f>INDEX('05_副属性基础'!$I$2:$I$13,MATCH(D433,'05_副属性基础'!$G$2:$G$13,0))</f>
        <v/>
      </c>
      <c r="H433" s="3">
        <f>INDEX('02_品质等级'!$G$2:$G$6,MATCH(C433,'02_品质等级'!$A$2:$A$6,0))</f>
        <v/>
      </c>
      <c r="I433" s="3">
        <f>INDEX('02_品质等级'!$H$2:$H$6,MATCH(C433,'02_品质等级'!$A$2:$A$6,0))</f>
        <v/>
      </c>
      <c r="J433" s="3">
        <f>E433*F433*G433*H433</f>
        <v/>
      </c>
      <c r="K433" s="3">
        <f>E433*F433*G433*I433</f>
        <v/>
      </c>
    </row>
    <row r="434">
      <c r="A434" s="2" t="inlineStr">
        <is>
          <t>暴击伤害等级</t>
        </is>
      </c>
      <c r="B434" s="2" t="inlineStr">
        <is>
          <t>固定值</t>
        </is>
      </c>
      <c r="C434" s="2" t="inlineStr">
        <is>
          <t>蓝</t>
        </is>
      </c>
      <c r="D434" s="2" t="n">
        <v>5</v>
      </c>
      <c r="E434" s="3">
        <f>INDEX('05_副属性基础'!$C$2:$C$11,MATCH(A434,'05_副属性基础'!$A$2:$A$11,0))</f>
        <v/>
      </c>
      <c r="F434" s="3">
        <f>INDEX('02_品质等级'!$D$2:$D$6,MATCH(C434,'02_品质等级'!$A$2:$A$6,0))</f>
        <v/>
      </c>
      <c r="G434" s="3">
        <f>INDEX('05_副属性基础'!$I$2:$I$13,MATCH(D434,'05_副属性基础'!$G$2:$G$13,0))</f>
        <v/>
      </c>
      <c r="H434" s="3">
        <f>INDEX('02_品质等级'!$G$2:$G$6,MATCH(C434,'02_品质等级'!$A$2:$A$6,0))</f>
        <v/>
      </c>
      <c r="I434" s="3">
        <f>INDEX('02_品质等级'!$H$2:$H$6,MATCH(C434,'02_品质等级'!$A$2:$A$6,0))</f>
        <v/>
      </c>
      <c r="J434" s="3">
        <f>E434*F434*G434*H434</f>
        <v/>
      </c>
      <c r="K434" s="3">
        <f>E434*F434*G434*I434</f>
        <v/>
      </c>
    </row>
    <row r="435">
      <c r="A435" s="2" t="inlineStr">
        <is>
          <t>暴击伤害等级</t>
        </is>
      </c>
      <c r="B435" s="2" t="inlineStr">
        <is>
          <t>固定值</t>
        </is>
      </c>
      <c r="C435" s="2" t="inlineStr">
        <is>
          <t>蓝</t>
        </is>
      </c>
      <c r="D435" s="2" t="n">
        <v>10</v>
      </c>
      <c r="E435" s="3">
        <f>INDEX('05_副属性基础'!$C$2:$C$11,MATCH(A435,'05_副属性基础'!$A$2:$A$11,0))</f>
        <v/>
      </c>
      <c r="F435" s="3">
        <f>INDEX('02_品质等级'!$D$2:$D$6,MATCH(C435,'02_品质等级'!$A$2:$A$6,0))</f>
        <v/>
      </c>
      <c r="G435" s="3">
        <f>INDEX('05_副属性基础'!$I$2:$I$13,MATCH(D435,'05_副属性基础'!$G$2:$G$13,0))</f>
        <v/>
      </c>
      <c r="H435" s="3">
        <f>INDEX('02_品质等级'!$G$2:$G$6,MATCH(C435,'02_品质等级'!$A$2:$A$6,0))</f>
        <v/>
      </c>
      <c r="I435" s="3">
        <f>INDEX('02_品质等级'!$H$2:$H$6,MATCH(C435,'02_品质等级'!$A$2:$A$6,0))</f>
        <v/>
      </c>
      <c r="J435" s="3">
        <f>E435*F435*G435*H435</f>
        <v/>
      </c>
      <c r="K435" s="3">
        <f>E435*F435*G435*I435</f>
        <v/>
      </c>
    </row>
    <row r="436">
      <c r="A436" s="2" t="inlineStr">
        <is>
          <t>暴击伤害等级</t>
        </is>
      </c>
      <c r="B436" s="2" t="inlineStr">
        <is>
          <t>固定值</t>
        </is>
      </c>
      <c r="C436" s="2" t="inlineStr">
        <is>
          <t>蓝</t>
        </is>
      </c>
      <c r="D436" s="2" t="n">
        <v>15</v>
      </c>
      <c r="E436" s="3">
        <f>INDEX('05_副属性基础'!$C$2:$C$11,MATCH(A436,'05_副属性基础'!$A$2:$A$11,0))</f>
        <v/>
      </c>
      <c r="F436" s="3">
        <f>INDEX('02_品质等级'!$D$2:$D$6,MATCH(C436,'02_品质等级'!$A$2:$A$6,0))</f>
        <v/>
      </c>
      <c r="G436" s="3">
        <f>INDEX('05_副属性基础'!$I$2:$I$13,MATCH(D436,'05_副属性基础'!$G$2:$G$13,0))</f>
        <v/>
      </c>
      <c r="H436" s="3">
        <f>INDEX('02_品质等级'!$G$2:$G$6,MATCH(C436,'02_品质等级'!$A$2:$A$6,0))</f>
        <v/>
      </c>
      <c r="I436" s="3">
        <f>INDEX('02_品质等级'!$H$2:$H$6,MATCH(C436,'02_品质等级'!$A$2:$A$6,0))</f>
        <v/>
      </c>
      <c r="J436" s="3">
        <f>E436*F436*G436*H436</f>
        <v/>
      </c>
      <c r="K436" s="3">
        <f>E436*F436*G436*I436</f>
        <v/>
      </c>
    </row>
    <row r="437">
      <c r="A437" s="2" t="inlineStr">
        <is>
          <t>暴击伤害等级</t>
        </is>
      </c>
      <c r="B437" s="2" t="inlineStr">
        <is>
          <t>固定值</t>
        </is>
      </c>
      <c r="C437" s="2" t="inlineStr">
        <is>
          <t>蓝</t>
        </is>
      </c>
      <c r="D437" s="2" t="n">
        <v>20</v>
      </c>
      <c r="E437" s="3">
        <f>INDEX('05_副属性基础'!$C$2:$C$11,MATCH(A437,'05_副属性基础'!$A$2:$A$11,0))</f>
        <v/>
      </c>
      <c r="F437" s="3">
        <f>INDEX('02_品质等级'!$D$2:$D$6,MATCH(C437,'02_品质等级'!$A$2:$A$6,0))</f>
        <v/>
      </c>
      <c r="G437" s="3">
        <f>INDEX('05_副属性基础'!$I$2:$I$13,MATCH(D437,'05_副属性基础'!$G$2:$G$13,0))</f>
        <v/>
      </c>
      <c r="H437" s="3">
        <f>INDEX('02_品质等级'!$G$2:$G$6,MATCH(C437,'02_品质等级'!$A$2:$A$6,0))</f>
        <v/>
      </c>
      <c r="I437" s="3">
        <f>INDEX('02_品质等级'!$H$2:$H$6,MATCH(C437,'02_品质等级'!$A$2:$A$6,0))</f>
        <v/>
      </c>
      <c r="J437" s="3">
        <f>E437*F437*G437*H437</f>
        <v/>
      </c>
      <c r="K437" s="3">
        <f>E437*F437*G437*I437</f>
        <v/>
      </c>
    </row>
    <row r="438">
      <c r="A438" s="2" t="inlineStr">
        <is>
          <t>暴击伤害等级</t>
        </is>
      </c>
      <c r="B438" s="2" t="inlineStr">
        <is>
          <t>固定值</t>
        </is>
      </c>
      <c r="C438" s="2" t="inlineStr">
        <is>
          <t>蓝</t>
        </is>
      </c>
      <c r="D438" s="2" t="n">
        <v>25</v>
      </c>
      <c r="E438" s="3">
        <f>INDEX('05_副属性基础'!$C$2:$C$11,MATCH(A438,'05_副属性基础'!$A$2:$A$11,0))</f>
        <v/>
      </c>
      <c r="F438" s="3">
        <f>INDEX('02_品质等级'!$D$2:$D$6,MATCH(C438,'02_品质等级'!$A$2:$A$6,0))</f>
        <v/>
      </c>
      <c r="G438" s="3">
        <f>INDEX('05_副属性基础'!$I$2:$I$13,MATCH(D438,'05_副属性基础'!$G$2:$G$13,0))</f>
        <v/>
      </c>
      <c r="H438" s="3">
        <f>INDEX('02_品质等级'!$G$2:$G$6,MATCH(C438,'02_品质等级'!$A$2:$A$6,0))</f>
        <v/>
      </c>
      <c r="I438" s="3">
        <f>INDEX('02_品质等级'!$H$2:$H$6,MATCH(C438,'02_品质等级'!$A$2:$A$6,0))</f>
        <v/>
      </c>
      <c r="J438" s="3">
        <f>E438*F438*G438*H438</f>
        <v/>
      </c>
      <c r="K438" s="3">
        <f>E438*F438*G438*I438</f>
        <v/>
      </c>
    </row>
    <row r="439">
      <c r="A439" s="2" t="inlineStr">
        <is>
          <t>暴击伤害等级</t>
        </is>
      </c>
      <c r="B439" s="2" t="inlineStr">
        <is>
          <t>固定值</t>
        </is>
      </c>
      <c r="C439" s="2" t="inlineStr">
        <is>
          <t>蓝</t>
        </is>
      </c>
      <c r="D439" s="2" t="n">
        <v>30</v>
      </c>
      <c r="E439" s="3">
        <f>INDEX('05_副属性基础'!$C$2:$C$11,MATCH(A439,'05_副属性基础'!$A$2:$A$11,0))</f>
        <v/>
      </c>
      <c r="F439" s="3">
        <f>INDEX('02_品质等级'!$D$2:$D$6,MATCH(C439,'02_品质等级'!$A$2:$A$6,0))</f>
        <v/>
      </c>
      <c r="G439" s="3">
        <f>INDEX('05_副属性基础'!$I$2:$I$13,MATCH(D439,'05_副属性基础'!$G$2:$G$13,0))</f>
        <v/>
      </c>
      <c r="H439" s="3">
        <f>INDEX('02_品质等级'!$G$2:$G$6,MATCH(C439,'02_品质等级'!$A$2:$A$6,0))</f>
        <v/>
      </c>
      <c r="I439" s="3">
        <f>INDEX('02_品质等级'!$H$2:$H$6,MATCH(C439,'02_品质等级'!$A$2:$A$6,0))</f>
        <v/>
      </c>
      <c r="J439" s="3">
        <f>E439*F439*G439*H439</f>
        <v/>
      </c>
      <c r="K439" s="3">
        <f>E439*F439*G439*I439</f>
        <v/>
      </c>
    </row>
    <row r="440">
      <c r="A440" s="2" t="inlineStr">
        <is>
          <t>暴击伤害等级</t>
        </is>
      </c>
      <c r="B440" s="2" t="inlineStr">
        <is>
          <t>固定值</t>
        </is>
      </c>
      <c r="C440" s="2" t="inlineStr">
        <is>
          <t>蓝</t>
        </is>
      </c>
      <c r="D440" s="2" t="n">
        <v>35</v>
      </c>
      <c r="E440" s="3">
        <f>INDEX('05_副属性基础'!$C$2:$C$11,MATCH(A440,'05_副属性基础'!$A$2:$A$11,0))</f>
        <v/>
      </c>
      <c r="F440" s="3">
        <f>INDEX('02_品质等级'!$D$2:$D$6,MATCH(C440,'02_品质等级'!$A$2:$A$6,0))</f>
        <v/>
      </c>
      <c r="G440" s="3">
        <f>INDEX('05_副属性基础'!$I$2:$I$13,MATCH(D440,'05_副属性基础'!$G$2:$G$13,0))</f>
        <v/>
      </c>
      <c r="H440" s="3">
        <f>INDEX('02_品质等级'!$G$2:$G$6,MATCH(C440,'02_品质等级'!$A$2:$A$6,0))</f>
        <v/>
      </c>
      <c r="I440" s="3">
        <f>INDEX('02_品质等级'!$H$2:$H$6,MATCH(C440,'02_品质等级'!$A$2:$A$6,0))</f>
        <v/>
      </c>
      <c r="J440" s="3">
        <f>E440*F440*G440*H440</f>
        <v/>
      </c>
      <c r="K440" s="3">
        <f>E440*F440*G440*I440</f>
        <v/>
      </c>
    </row>
    <row r="441">
      <c r="A441" s="2" t="inlineStr">
        <is>
          <t>暴击伤害等级</t>
        </is>
      </c>
      <c r="B441" s="2" t="inlineStr">
        <is>
          <t>固定值</t>
        </is>
      </c>
      <c r="C441" s="2" t="inlineStr">
        <is>
          <t>蓝</t>
        </is>
      </c>
      <c r="D441" s="2" t="n">
        <v>40</v>
      </c>
      <c r="E441" s="3">
        <f>INDEX('05_副属性基础'!$C$2:$C$11,MATCH(A441,'05_副属性基础'!$A$2:$A$11,0))</f>
        <v/>
      </c>
      <c r="F441" s="3">
        <f>INDEX('02_品质等级'!$D$2:$D$6,MATCH(C441,'02_品质等级'!$A$2:$A$6,0))</f>
        <v/>
      </c>
      <c r="G441" s="3">
        <f>INDEX('05_副属性基础'!$I$2:$I$13,MATCH(D441,'05_副属性基础'!$G$2:$G$13,0))</f>
        <v/>
      </c>
      <c r="H441" s="3">
        <f>INDEX('02_品质等级'!$G$2:$G$6,MATCH(C441,'02_品质等级'!$A$2:$A$6,0))</f>
        <v/>
      </c>
      <c r="I441" s="3">
        <f>INDEX('02_品质等级'!$H$2:$H$6,MATCH(C441,'02_品质等级'!$A$2:$A$6,0))</f>
        <v/>
      </c>
      <c r="J441" s="3">
        <f>E441*F441*G441*H441</f>
        <v/>
      </c>
      <c r="K441" s="3">
        <f>E441*F441*G441*I441</f>
        <v/>
      </c>
    </row>
    <row r="442">
      <c r="A442" s="2" t="inlineStr">
        <is>
          <t>暴击伤害等级</t>
        </is>
      </c>
      <c r="B442" s="2" t="inlineStr">
        <is>
          <t>固定值</t>
        </is>
      </c>
      <c r="C442" s="2" t="inlineStr">
        <is>
          <t>蓝</t>
        </is>
      </c>
      <c r="D442" s="2" t="n">
        <v>45</v>
      </c>
      <c r="E442" s="3">
        <f>INDEX('05_副属性基础'!$C$2:$C$11,MATCH(A442,'05_副属性基础'!$A$2:$A$11,0))</f>
        <v/>
      </c>
      <c r="F442" s="3">
        <f>INDEX('02_品质等级'!$D$2:$D$6,MATCH(C442,'02_品质等级'!$A$2:$A$6,0))</f>
        <v/>
      </c>
      <c r="G442" s="3">
        <f>INDEX('05_副属性基础'!$I$2:$I$13,MATCH(D442,'05_副属性基础'!$G$2:$G$13,0))</f>
        <v/>
      </c>
      <c r="H442" s="3">
        <f>INDEX('02_品质等级'!$G$2:$G$6,MATCH(C442,'02_品质等级'!$A$2:$A$6,0))</f>
        <v/>
      </c>
      <c r="I442" s="3">
        <f>INDEX('02_品质等级'!$H$2:$H$6,MATCH(C442,'02_品质等级'!$A$2:$A$6,0))</f>
        <v/>
      </c>
      <c r="J442" s="3">
        <f>E442*F442*G442*H442</f>
        <v/>
      </c>
      <c r="K442" s="3">
        <f>E442*F442*G442*I442</f>
        <v/>
      </c>
    </row>
    <row r="443">
      <c r="A443" s="2" t="inlineStr">
        <is>
          <t>暴击伤害等级</t>
        </is>
      </c>
      <c r="B443" s="2" t="inlineStr">
        <is>
          <t>固定值</t>
        </is>
      </c>
      <c r="C443" s="2" t="inlineStr">
        <is>
          <t>蓝</t>
        </is>
      </c>
      <c r="D443" s="2" t="n">
        <v>50</v>
      </c>
      <c r="E443" s="3">
        <f>INDEX('05_副属性基础'!$C$2:$C$11,MATCH(A443,'05_副属性基础'!$A$2:$A$11,0))</f>
        <v/>
      </c>
      <c r="F443" s="3">
        <f>INDEX('02_品质等级'!$D$2:$D$6,MATCH(C443,'02_品质等级'!$A$2:$A$6,0))</f>
        <v/>
      </c>
      <c r="G443" s="3">
        <f>INDEX('05_副属性基础'!$I$2:$I$13,MATCH(D443,'05_副属性基础'!$G$2:$G$13,0))</f>
        <v/>
      </c>
      <c r="H443" s="3">
        <f>INDEX('02_品质等级'!$G$2:$G$6,MATCH(C443,'02_品质等级'!$A$2:$A$6,0))</f>
        <v/>
      </c>
      <c r="I443" s="3">
        <f>INDEX('02_品质等级'!$H$2:$H$6,MATCH(C443,'02_品质等级'!$A$2:$A$6,0))</f>
        <v/>
      </c>
      <c r="J443" s="3">
        <f>E443*F443*G443*H443</f>
        <v/>
      </c>
      <c r="K443" s="3">
        <f>E443*F443*G443*I443</f>
        <v/>
      </c>
    </row>
    <row r="444">
      <c r="A444" s="2" t="inlineStr">
        <is>
          <t>暴击伤害等级</t>
        </is>
      </c>
      <c r="B444" s="2" t="inlineStr">
        <is>
          <t>固定值</t>
        </is>
      </c>
      <c r="C444" s="2" t="inlineStr">
        <is>
          <t>蓝</t>
        </is>
      </c>
      <c r="D444" s="2" t="n">
        <v>55</v>
      </c>
      <c r="E444" s="3">
        <f>INDEX('05_副属性基础'!$C$2:$C$11,MATCH(A444,'05_副属性基础'!$A$2:$A$11,0))</f>
        <v/>
      </c>
      <c r="F444" s="3">
        <f>INDEX('02_品质等级'!$D$2:$D$6,MATCH(C444,'02_品质等级'!$A$2:$A$6,0))</f>
        <v/>
      </c>
      <c r="G444" s="3">
        <f>INDEX('05_副属性基础'!$I$2:$I$13,MATCH(D444,'05_副属性基础'!$G$2:$G$13,0))</f>
        <v/>
      </c>
      <c r="H444" s="3">
        <f>INDEX('02_品质等级'!$G$2:$G$6,MATCH(C444,'02_品质等级'!$A$2:$A$6,0))</f>
        <v/>
      </c>
      <c r="I444" s="3">
        <f>INDEX('02_品质等级'!$H$2:$H$6,MATCH(C444,'02_品质等级'!$A$2:$A$6,0))</f>
        <v/>
      </c>
      <c r="J444" s="3">
        <f>E444*F444*G444*H444</f>
        <v/>
      </c>
      <c r="K444" s="3">
        <f>E444*F444*G444*I444</f>
        <v/>
      </c>
    </row>
    <row r="445">
      <c r="A445" s="2" t="inlineStr">
        <is>
          <t>暴击伤害等级</t>
        </is>
      </c>
      <c r="B445" s="2" t="inlineStr">
        <is>
          <t>固定值</t>
        </is>
      </c>
      <c r="C445" s="2" t="inlineStr">
        <is>
          <t>蓝</t>
        </is>
      </c>
      <c r="D445" s="2" t="n">
        <v>60</v>
      </c>
      <c r="E445" s="3">
        <f>INDEX('05_副属性基础'!$C$2:$C$11,MATCH(A445,'05_副属性基础'!$A$2:$A$11,0))</f>
        <v/>
      </c>
      <c r="F445" s="3">
        <f>INDEX('02_品质等级'!$D$2:$D$6,MATCH(C445,'02_品质等级'!$A$2:$A$6,0))</f>
        <v/>
      </c>
      <c r="G445" s="3">
        <f>INDEX('05_副属性基础'!$I$2:$I$13,MATCH(D445,'05_副属性基础'!$G$2:$G$13,0))</f>
        <v/>
      </c>
      <c r="H445" s="3">
        <f>INDEX('02_品质等级'!$G$2:$G$6,MATCH(C445,'02_品质等级'!$A$2:$A$6,0))</f>
        <v/>
      </c>
      <c r="I445" s="3">
        <f>INDEX('02_品质等级'!$H$2:$H$6,MATCH(C445,'02_品质等级'!$A$2:$A$6,0))</f>
        <v/>
      </c>
      <c r="J445" s="3">
        <f>E445*F445*G445*H445</f>
        <v/>
      </c>
      <c r="K445" s="3">
        <f>E445*F445*G445*I445</f>
        <v/>
      </c>
    </row>
    <row r="446">
      <c r="A446" s="2" t="inlineStr">
        <is>
          <t>暴击伤害等级</t>
        </is>
      </c>
      <c r="B446" s="2" t="inlineStr">
        <is>
          <t>固定值</t>
        </is>
      </c>
      <c r="C446" s="2" t="inlineStr">
        <is>
          <t>紫</t>
        </is>
      </c>
      <c r="D446" s="2" t="n">
        <v>5</v>
      </c>
      <c r="E446" s="3">
        <f>INDEX('05_副属性基础'!$C$2:$C$11,MATCH(A446,'05_副属性基础'!$A$2:$A$11,0))</f>
        <v/>
      </c>
      <c r="F446" s="3">
        <f>INDEX('02_品质等级'!$D$2:$D$6,MATCH(C446,'02_品质等级'!$A$2:$A$6,0))</f>
        <v/>
      </c>
      <c r="G446" s="3">
        <f>INDEX('05_副属性基础'!$I$2:$I$13,MATCH(D446,'05_副属性基础'!$G$2:$G$13,0))</f>
        <v/>
      </c>
      <c r="H446" s="3">
        <f>INDEX('02_品质等级'!$G$2:$G$6,MATCH(C446,'02_品质等级'!$A$2:$A$6,0))</f>
        <v/>
      </c>
      <c r="I446" s="3">
        <f>INDEX('02_品质等级'!$H$2:$H$6,MATCH(C446,'02_品质等级'!$A$2:$A$6,0))</f>
        <v/>
      </c>
      <c r="J446" s="3">
        <f>E446*F446*G446*H446</f>
        <v/>
      </c>
      <c r="K446" s="3">
        <f>E446*F446*G446*I446</f>
        <v/>
      </c>
    </row>
    <row r="447">
      <c r="A447" s="2" t="inlineStr">
        <is>
          <t>暴击伤害等级</t>
        </is>
      </c>
      <c r="B447" s="2" t="inlineStr">
        <is>
          <t>固定值</t>
        </is>
      </c>
      <c r="C447" s="2" t="inlineStr">
        <is>
          <t>紫</t>
        </is>
      </c>
      <c r="D447" s="2" t="n">
        <v>10</v>
      </c>
      <c r="E447" s="3">
        <f>INDEX('05_副属性基础'!$C$2:$C$11,MATCH(A447,'05_副属性基础'!$A$2:$A$11,0))</f>
        <v/>
      </c>
      <c r="F447" s="3">
        <f>INDEX('02_品质等级'!$D$2:$D$6,MATCH(C447,'02_品质等级'!$A$2:$A$6,0))</f>
        <v/>
      </c>
      <c r="G447" s="3">
        <f>INDEX('05_副属性基础'!$I$2:$I$13,MATCH(D447,'05_副属性基础'!$G$2:$G$13,0))</f>
        <v/>
      </c>
      <c r="H447" s="3">
        <f>INDEX('02_品质等级'!$G$2:$G$6,MATCH(C447,'02_品质等级'!$A$2:$A$6,0))</f>
        <v/>
      </c>
      <c r="I447" s="3">
        <f>INDEX('02_品质等级'!$H$2:$H$6,MATCH(C447,'02_品质等级'!$A$2:$A$6,0))</f>
        <v/>
      </c>
      <c r="J447" s="3">
        <f>E447*F447*G447*H447</f>
        <v/>
      </c>
      <c r="K447" s="3">
        <f>E447*F447*G447*I447</f>
        <v/>
      </c>
    </row>
    <row r="448">
      <c r="A448" s="2" t="inlineStr">
        <is>
          <t>暴击伤害等级</t>
        </is>
      </c>
      <c r="B448" s="2" t="inlineStr">
        <is>
          <t>固定值</t>
        </is>
      </c>
      <c r="C448" s="2" t="inlineStr">
        <is>
          <t>紫</t>
        </is>
      </c>
      <c r="D448" s="2" t="n">
        <v>15</v>
      </c>
      <c r="E448" s="3">
        <f>INDEX('05_副属性基础'!$C$2:$C$11,MATCH(A448,'05_副属性基础'!$A$2:$A$11,0))</f>
        <v/>
      </c>
      <c r="F448" s="3">
        <f>INDEX('02_品质等级'!$D$2:$D$6,MATCH(C448,'02_品质等级'!$A$2:$A$6,0))</f>
        <v/>
      </c>
      <c r="G448" s="3">
        <f>INDEX('05_副属性基础'!$I$2:$I$13,MATCH(D448,'05_副属性基础'!$G$2:$G$13,0))</f>
        <v/>
      </c>
      <c r="H448" s="3">
        <f>INDEX('02_品质等级'!$G$2:$G$6,MATCH(C448,'02_品质等级'!$A$2:$A$6,0))</f>
        <v/>
      </c>
      <c r="I448" s="3">
        <f>INDEX('02_品质等级'!$H$2:$H$6,MATCH(C448,'02_品质等级'!$A$2:$A$6,0))</f>
        <v/>
      </c>
      <c r="J448" s="3">
        <f>E448*F448*G448*H448</f>
        <v/>
      </c>
      <c r="K448" s="3">
        <f>E448*F448*G448*I448</f>
        <v/>
      </c>
    </row>
    <row r="449">
      <c r="A449" s="2" t="inlineStr">
        <is>
          <t>暴击伤害等级</t>
        </is>
      </c>
      <c r="B449" s="2" t="inlineStr">
        <is>
          <t>固定值</t>
        </is>
      </c>
      <c r="C449" s="2" t="inlineStr">
        <is>
          <t>紫</t>
        </is>
      </c>
      <c r="D449" s="2" t="n">
        <v>20</v>
      </c>
      <c r="E449" s="3">
        <f>INDEX('05_副属性基础'!$C$2:$C$11,MATCH(A449,'05_副属性基础'!$A$2:$A$11,0))</f>
        <v/>
      </c>
      <c r="F449" s="3">
        <f>INDEX('02_品质等级'!$D$2:$D$6,MATCH(C449,'02_品质等级'!$A$2:$A$6,0))</f>
        <v/>
      </c>
      <c r="G449" s="3">
        <f>INDEX('05_副属性基础'!$I$2:$I$13,MATCH(D449,'05_副属性基础'!$G$2:$G$13,0))</f>
        <v/>
      </c>
      <c r="H449" s="3">
        <f>INDEX('02_品质等级'!$G$2:$G$6,MATCH(C449,'02_品质等级'!$A$2:$A$6,0))</f>
        <v/>
      </c>
      <c r="I449" s="3">
        <f>INDEX('02_品质等级'!$H$2:$H$6,MATCH(C449,'02_品质等级'!$A$2:$A$6,0))</f>
        <v/>
      </c>
      <c r="J449" s="3">
        <f>E449*F449*G449*H449</f>
        <v/>
      </c>
      <c r="K449" s="3">
        <f>E449*F449*G449*I449</f>
        <v/>
      </c>
    </row>
    <row r="450">
      <c r="A450" s="2" t="inlineStr">
        <is>
          <t>暴击伤害等级</t>
        </is>
      </c>
      <c r="B450" s="2" t="inlineStr">
        <is>
          <t>固定值</t>
        </is>
      </c>
      <c r="C450" s="2" t="inlineStr">
        <is>
          <t>紫</t>
        </is>
      </c>
      <c r="D450" s="2" t="n">
        <v>25</v>
      </c>
      <c r="E450" s="3">
        <f>INDEX('05_副属性基础'!$C$2:$C$11,MATCH(A450,'05_副属性基础'!$A$2:$A$11,0))</f>
        <v/>
      </c>
      <c r="F450" s="3">
        <f>INDEX('02_品质等级'!$D$2:$D$6,MATCH(C450,'02_品质等级'!$A$2:$A$6,0))</f>
        <v/>
      </c>
      <c r="G450" s="3">
        <f>INDEX('05_副属性基础'!$I$2:$I$13,MATCH(D450,'05_副属性基础'!$G$2:$G$13,0))</f>
        <v/>
      </c>
      <c r="H450" s="3">
        <f>INDEX('02_品质等级'!$G$2:$G$6,MATCH(C450,'02_品质等级'!$A$2:$A$6,0))</f>
        <v/>
      </c>
      <c r="I450" s="3">
        <f>INDEX('02_品质等级'!$H$2:$H$6,MATCH(C450,'02_品质等级'!$A$2:$A$6,0))</f>
        <v/>
      </c>
      <c r="J450" s="3">
        <f>E450*F450*G450*H450</f>
        <v/>
      </c>
      <c r="K450" s="3">
        <f>E450*F450*G450*I450</f>
        <v/>
      </c>
    </row>
    <row r="451">
      <c r="A451" s="2" t="inlineStr">
        <is>
          <t>暴击伤害等级</t>
        </is>
      </c>
      <c r="B451" s="2" t="inlineStr">
        <is>
          <t>固定值</t>
        </is>
      </c>
      <c r="C451" s="2" t="inlineStr">
        <is>
          <t>紫</t>
        </is>
      </c>
      <c r="D451" s="2" t="n">
        <v>30</v>
      </c>
      <c r="E451" s="3">
        <f>INDEX('05_副属性基础'!$C$2:$C$11,MATCH(A451,'05_副属性基础'!$A$2:$A$11,0))</f>
        <v/>
      </c>
      <c r="F451" s="3">
        <f>INDEX('02_品质等级'!$D$2:$D$6,MATCH(C451,'02_品质等级'!$A$2:$A$6,0))</f>
        <v/>
      </c>
      <c r="G451" s="3">
        <f>INDEX('05_副属性基础'!$I$2:$I$13,MATCH(D451,'05_副属性基础'!$G$2:$G$13,0))</f>
        <v/>
      </c>
      <c r="H451" s="3">
        <f>INDEX('02_品质等级'!$G$2:$G$6,MATCH(C451,'02_品质等级'!$A$2:$A$6,0))</f>
        <v/>
      </c>
      <c r="I451" s="3">
        <f>INDEX('02_品质等级'!$H$2:$H$6,MATCH(C451,'02_品质等级'!$A$2:$A$6,0))</f>
        <v/>
      </c>
      <c r="J451" s="3">
        <f>E451*F451*G451*H451</f>
        <v/>
      </c>
      <c r="K451" s="3">
        <f>E451*F451*G451*I451</f>
        <v/>
      </c>
    </row>
    <row r="452">
      <c r="A452" s="2" t="inlineStr">
        <is>
          <t>暴击伤害等级</t>
        </is>
      </c>
      <c r="B452" s="2" t="inlineStr">
        <is>
          <t>固定值</t>
        </is>
      </c>
      <c r="C452" s="2" t="inlineStr">
        <is>
          <t>紫</t>
        </is>
      </c>
      <c r="D452" s="2" t="n">
        <v>35</v>
      </c>
      <c r="E452" s="3">
        <f>INDEX('05_副属性基础'!$C$2:$C$11,MATCH(A452,'05_副属性基础'!$A$2:$A$11,0))</f>
        <v/>
      </c>
      <c r="F452" s="3">
        <f>INDEX('02_品质等级'!$D$2:$D$6,MATCH(C452,'02_品质等级'!$A$2:$A$6,0))</f>
        <v/>
      </c>
      <c r="G452" s="3">
        <f>INDEX('05_副属性基础'!$I$2:$I$13,MATCH(D452,'05_副属性基础'!$G$2:$G$13,0))</f>
        <v/>
      </c>
      <c r="H452" s="3">
        <f>INDEX('02_品质等级'!$G$2:$G$6,MATCH(C452,'02_品质等级'!$A$2:$A$6,0))</f>
        <v/>
      </c>
      <c r="I452" s="3">
        <f>INDEX('02_品质等级'!$H$2:$H$6,MATCH(C452,'02_品质等级'!$A$2:$A$6,0))</f>
        <v/>
      </c>
      <c r="J452" s="3">
        <f>E452*F452*G452*H452</f>
        <v/>
      </c>
      <c r="K452" s="3">
        <f>E452*F452*G452*I452</f>
        <v/>
      </c>
    </row>
    <row r="453">
      <c r="A453" s="2" t="inlineStr">
        <is>
          <t>暴击伤害等级</t>
        </is>
      </c>
      <c r="B453" s="2" t="inlineStr">
        <is>
          <t>固定值</t>
        </is>
      </c>
      <c r="C453" s="2" t="inlineStr">
        <is>
          <t>紫</t>
        </is>
      </c>
      <c r="D453" s="2" t="n">
        <v>40</v>
      </c>
      <c r="E453" s="3">
        <f>INDEX('05_副属性基础'!$C$2:$C$11,MATCH(A453,'05_副属性基础'!$A$2:$A$11,0))</f>
        <v/>
      </c>
      <c r="F453" s="3">
        <f>INDEX('02_品质等级'!$D$2:$D$6,MATCH(C453,'02_品质等级'!$A$2:$A$6,0))</f>
        <v/>
      </c>
      <c r="G453" s="3">
        <f>INDEX('05_副属性基础'!$I$2:$I$13,MATCH(D453,'05_副属性基础'!$G$2:$G$13,0))</f>
        <v/>
      </c>
      <c r="H453" s="3">
        <f>INDEX('02_品质等级'!$G$2:$G$6,MATCH(C453,'02_品质等级'!$A$2:$A$6,0))</f>
        <v/>
      </c>
      <c r="I453" s="3">
        <f>INDEX('02_品质等级'!$H$2:$H$6,MATCH(C453,'02_品质等级'!$A$2:$A$6,0))</f>
        <v/>
      </c>
      <c r="J453" s="3">
        <f>E453*F453*G453*H453</f>
        <v/>
      </c>
      <c r="K453" s="3">
        <f>E453*F453*G453*I453</f>
        <v/>
      </c>
    </row>
    <row r="454">
      <c r="A454" s="2" t="inlineStr">
        <is>
          <t>暴击伤害等级</t>
        </is>
      </c>
      <c r="B454" s="2" t="inlineStr">
        <is>
          <t>固定值</t>
        </is>
      </c>
      <c r="C454" s="2" t="inlineStr">
        <is>
          <t>紫</t>
        </is>
      </c>
      <c r="D454" s="2" t="n">
        <v>45</v>
      </c>
      <c r="E454" s="3">
        <f>INDEX('05_副属性基础'!$C$2:$C$11,MATCH(A454,'05_副属性基础'!$A$2:$A$11,0))</f>
        <v/>
      </c>
      <c r="F454" s="3">
        <f>INDEX('02_品质等级'!$D$2:$D$6,MATCH(C454,'02_品质等级'!$A$2:$A$6,0))</f>
        <v/>
      </c>
      <c r="G454" s="3">
        <f>INDEX('05_副属性基础'!$I$2:$I$13,MATCH(D454,'05_副属性基础'!$G$2:$G$13,0))</f>
        <v/>
      </c>
      <c r="H454" s="3">
        <f>INDEX('02_品质等级'!$G$2:$G$6,MATCH(C454,'02_品质等级'!$A$2:$A$6,0))</f>
        <v/>
      </c>
      <c r="I454" s="3">
        <f>INDEX('02_品质等级'!$H$2:$H$6,MATCH(C454,'02_品质等级'!$A$2:$A$6,0))</f>
        <v/>
      </c>
      <c r="J454" s="3">
        <f>E454*F454*G454*H454</f>
        <v/>
      </c>
      <c r="K454" s="3">
        <f>E454*F454*G454*I454</f>
        <v/>
      </c>
    </row>
    <row r="455">
      <c r="A455" s="2" t="inlineStr">
        <is>
          <t>暴击伤害等级</t>
        </is>
      </c>
      <c r="B455" s="2" t="inlineStr">
        <is>
          <t>固定值</t>
        </is>
      </c>
      <c r="C455" s="2" t="inlineStr">
        <is>
          <t>紫</t>
        </is>
      </c>
      <c r="D455" s="2" t="n">
        <v>50</v>
      </c>
      <c r="E455" s="3">
        <f>INDEX('05_副属性基础'!$C$2:$C$11,MATCH(A455,'05_副属性基础'!$A$2:$A$11,0))</f>
        <v/>
      </c>
      <c r="F455" s="3">
        <f>INDEX('02_品质等级'!$D$2:$D$6,MATCH(C455,'02_品质等级'!$A$2:$A$6,0))</f>
        <v/>
      </c>
      <c r="G455" s="3">
        <f>INDEX('05_副属性基础'!$I$2:$I$13,MATCH(D455,'05_副属性基础'!$G$2:$G$13,0))</f>
        <v/>
      </c>
      <c r="H455" s="3">
        <f>INDEX('02_品质等级'!$G$2:$G$6,MATCH(C455,'02_品质等级'!$A$2:$A$6,0))</f>
        <v/>
      </c>
      <c r="I455" s="3">
        <f>INDEX('02_品质等级'!$H$2:$H$6,MATCH(C455,'02_品质等级'!$A$2:$A$6,0))</f>
        <v/>
      </c>
      <c r="J455" s="3">
        <f>E455*F455*G455*H455</f>
        <v/>
      </c>
      <c r="K455" s="3">
        <f>E455*F455*G455*I455</f>
        <v/>
      </c>
    </row>
    <row r="456">
      <c r="A456" s="2" t="inlineStr">
        <is>
          <t>暴击伤害等级</t>
        </is>
      </c>
      <c r="B456" s="2" t="inlineStr">
        <is>
          <t>固定值</t>
        </is>
      </c>
      <c r="C456" s="2" t="inlineStr">
        <is>
          <t>紫</t>
        </is>
      </c>
      <c r="D456" s="2" t="n">
        <v>55</v>
      </c>
      <c r="E456" s="3">
        <f>INDEX('05_副属性基础'!$C$2:$C$11,MATCH(A456,'05_副属性基础'!$A$2:$A$11,0))</f>
        <v/>
      </c>
      <c r="F456" s="3">
        <f>INDEX('02_品质等级'!$D$2:$D$6,MATCH(C456,'02_品质等级'!$A$2:$A$6,0))</f>
        <v/>
      </c>
      <c r="G456" s="3">
        <f>INDEX('05_副属性基础'!$I$2:$I$13,MATCH(D456,'05_副属性基础'!$G$2:$G$13,0))</f>
        <v/>
      </c>
      <c r="H456" s="3">
        <f>INDEX('02_品质等级'!$G$2:$G$6,MATCH(C456,'02_品质等级'!$A$2:$A$6,0))</f>
        <v/>
      </c>
      <c r="I456" s="3">
        <f>INDEX('02_品质等级'!$H$2:$H$6,MATCH(C456,'02_品质等级'!$A$2:$A$6,0))</f>
        <v/>
      </c>
      <c r="J456" s="3">
        <f>E456*F456*G456*H456</f>
        <v/>
      </c>
      <c r="K456" s="3">
        <f>E456*F456*G456*I456</f>
        <v/>
      </c>
    </row>
    <row r="457">
      <c r="A457" s="2" t="inlineStr">
        <is>
          <t>暴击伤害等级</t>
        </is>
      </c>
      <c r="B457" s="2" t="inlineStr">
        <is>
          <t>固定值</t>
        </is>
      </c>
      <c r="C457" s="2" t="inlineStr">
        <is>
          <t>紫</t>
        </is>
      </c>
      <c r="D457" s="2" t="n">
        <v>60</v>
      </c>
      <c r="E457" s="3">
        <f>INDEX('05_副属性基础'!$C$2:$C$11,MATCH(A457,'05_副属性基础'!$A$2:$A$11,0))</f>
        <v/>
      </c>
      <c r="F457" s="3">
        <f>INDEX('02_品质等级'!$D$2:$D$6,MATCH(C457,'02_品质等级'!$A$2:$A$6,0))</f>
        <v/>
      </c>
      <c r="G457" s="3">
        <f>INDEX('05_副属性基础'!$I$2:$I$13,MATCH(D457,'05_副属性基础'!$G$2:$G$13,0))</f>
        <v/>
      </c>
      <c r="H457" s="3">
        <f>INDEX('02_品质等级'!$G$2:$G$6,MATCH(C457,'02_品质等级'!$A$2:$A$6,0))</f>
        <v/>
      </c>
      <c r="I457" s="3">
        <f>INDEX('02_品质等级'!$H$2:$H$6,MATCH(C457,'02_品质等级'!$A$2:$A$6,0))</f>
        <v/>
      </c>
      <c r="J457" s="3">
        <f>E457*F457*G457*H457</f>
        <v/>
      </c>
      <c r="K457" s="3">
        <f>E457*F457*G457*I457</f>
        <v/>
      </c>
    </row>
    <row r="458">
      <c r="A458" s="2" t="inlineStr">
        <is>
          <t>暴击伤害等级</t>
        </is>
      </c>
      <c r="B458" s="2" t="inlineStr">
        <is>
          <t>固定值</t>
        </is>
      </c>
      <c r="C458" s="2" t="inlineStr">
        <is>
          <t>金</t>
        </is>
      </c>
      <c r="D458" s="2" t="n">
        <v>5</v>
      </c>
      <c r="E458" s="3">
        <f>INDEX('05_副属性基础'!$C$2:$C$11,MATCH(A458,'05_副属性基础'!$A$2:$A$11,0))</f>
        <v/>
      </c>
      <c r="F458" s="3">
        <f>INDEX('02_品质等级'!$D$2:$D$6,MATCH(C458,'02_品质等级'!$A$2:$A$6,0))</f>
        <v/>
      </c>
      <c r="G458" s="3">
        <f>INDEX('05_副属性基础'!$I$2:$I$13,MATCH(D458,'05_副属性基础'!$G$2:$G$13,0))</f>
        <v/>
      </c>
      <c r="H458" s="3">
        <f>INDEX('02_品质等级'!$G$2:$G$6,MATCH(C458,'02_品质等级'!$A$2:$A$6,0))</f>
        <v/>
      </c>
      <c r="I458" s="3">
        <f>INDEX('02_品质等级'!$H$2:$H$6,MATCH(C458,'02_品质等级'!$A$2:$A$6,0))</f>
        <v/>
      </c>
      <c r="J458" s="3">
        <f>E458*F458*G458*H458</f>
        <v/>
      </c>
      <c r="K458" s="3">
        <f>E458*F458*G458*I458</f>
        <v/>
      </c>
    </row>
    <row r="459">
      <c r="A459" s="2" t="inlineStr">
        <is>
          <t>暴击伤害等级</t>
        </is>
      </c>
      <c r="B459" s="2" t="inlineStr">
        <is>
          <t>固定值</t>
        </is>
      </c>
      <c r="C459" s="2" t="inlineStr">
        <is>
          <t>金</t>
        </is>
      </c>
      <c r="D459" s="2" t="n">
        <v>10</v>
      </c>
      <c r="E459" s="3">
        <f>INDEX('05_副属性基础'!$C$2:$C$11,MATCH(A459,'05_副属性基础'!$A$2:$A$11,0))</f>
        <v/>
      </c>
      <c r="F459" s="3">
        <f>INDEX('02_品质等级'!$D$2:$D$6,MATCH(C459,'02_品质等级'!$A$2:$A$6,0))</f>
        <v/>
      </c>
      <c r="G459" s="3">
        <f>INDEX('05_副属性基础'!$I$2:$I$13,MATCH(D459,'05_副属性基础'!$G$2:$G$13,0))</f>
        <v/>
      </c>
      <c r="H459" s="3">
        <f>INDEX('02_品质等级'!$G$2:$G$6,MATCH(C459,'02_品质等级'!$A$2:$A$6,0))</f>
        <v/>
      </c>
      <c r="I459" s="3">
        <f>INDEX('02_品质等级'!$H$2:$H$6,MATCH(C459,'02_品质等级'!$A$2:$A$6,0))</f>
        <v/>
      </c>
      <c r="J459" s="3">
        <f>E459*F459*G459*H459</f>
        <v/>
      </c>
      <c r="K459" s="3">
        <f>E459*F459*G459*I459</f>
        <v/>
      </c>
    </row>
    <row r="460">
      <c r="A460" s="2" t="inlineStr">
        <is>
          <t>暴击伤害等级</t>
        </is>
      </c>
      <c r="B460" s="2" t="inlineStr">
        <is>
          <t>固定值</t>
        </is>
      </c>
      <c r="C460" s="2" t="inlineStr">
        <is>
          <t>金</t>
        </is>
      </c>
      <c r="D460" s="2" t="n">
        <v>15</v>
      </c>
      <c r="E460" s="3">
        <f>INDEX('05_副属性基础'!$C$2:$C$11,MATCH(A460,'05_副属性基础'!$A$2:$A$11,0))</f>
        <v/>
      </c>
      <c r="F460" s="3">
        <f>INDEX('02_品质等级'!$D$2:$D$6,MATCH(C460,'02_品质等级'!$A$2:$A$6,0))</f>
        <v/>
      </c>
      <c r="G460" s="3">
        <f>INDEX('05_副属性基础'!$I$2:$I$13,MATCH(D460,'05_副属性基础'!$G$2:$G$13,0))</f>
        <v/>
      </c>
      <c r="H460" s="3">
        <f>INDEX('02_品质等级'!$G$2:$G$6,MATCH(C460,'02_品质等级'!$A$2:$A$6,0))</f>
        <v/>
      </c>
      <c r="I460" s="3">
        <f>INDEX('02_品质等级'!$H$2:$H$6,MATCH(C460,'02_品质等级'!$A$2:$A$6,0))</f>
        <v/>
      </c>
      <c r="J460" s="3">
        <f>E460*F460*G460*H460</f>
        <v/>
      </c>
      <c r="K460" s="3">
        <f>E460*F460*G460*I460</f>
        <v/>
      </c>
    </row>
    <row r="461">
      <c r="A461" s="2" t="inlineStr">
        <is>
          <t>暴击伤害等级</t>
        </is>
      </c>
      <c r="B461" s="2" t="inlineStr">
        <is>
          <t>固定值</t>
        </is>
      </c>
      <c r="C461" s="2" t="inlineStr">
        <is>
          <t>金</t>
        </is>
      </c>
      <c r="D461" s="2" t="n">
        <v>20</v>
      </c>
      <c r="E461" s="3">
        <f>INDEX('05_副属性基础'!$C$2:$C$11,MATCH(A461,'05_副属性基础'!$A$2:$A$11,0))</f>
        <v/>
      </c>
      <c r="F461" s="3">
        <f>INDEX('02_品质等级'!$D$2:$D$6,MATCH(C461,'02_品质等级'!$A$2:$A$6,0))</f>
        <v/>
      </c>
      <c r="G461" s="3">
        <f>INDEX('05_副属性基础'!$I$2:$I$13,MATCH(D461,'05_副属性基础'!$G$2:$G$13,0))</f>
        <v/>
      </c>
      <c r="H461" s="3">
        <f>INDEX('02_品质等级'!$G$2:$G$6,MATCH(C461,'02_品质等级'!$A$2:$A$6,0))</f>
        <v/>
      </c>
      <c r="I461" s="3">
        <f>INDEX('02_品质等级'!$H$2:$H$6,MATCH(C461,'02_品质等级'!$A$2:$A$6,0))</f>
        <v/>
      </c>
      <c r="J461" s="3">
        <f>E461*F461*G461*H461</f>
        <v/>
      </c>
      <c r="K461" s="3">
        <f>E461*F461*G461*I461</f>
        <v/>
      </c>
    </row>
    <row r="462">
      <c r="A462" s="2" t="inlineStr">
        <is>
          <t>暴击伤害等级</t>
        </is>
      </c>
      <c r="B462" s="2" t="inlineStr">
        <is>
          <t>固定值</t>
        </is>
      </c>
      <c r="C462" s="2" t="inlineStr">
        <is>
          <t>金</t>
        </is>
      </c>
      <c r="D462" s="2" t="n">
        <v>25</v>
      </c>
      <c r="E462" s="3">
        <f>INDEX('05_副属性基础'!$C$2:$C$11,MATCH(A462,'05_副属性基础'!$A$2:$A$11,0))</f>
        <v/>
      </c>
      <c r="F462" s="3">
        <f>INDEX('02_品质等级'!$D$2:$D$6,MATCH(C462,'02_品质等级'!$A$2:$A$6,0))</f>
        <v/>
      </c>
      <c r="G462" s="3">
        <f>INDEX('05_副属性基础'!$I$2:$I$13,MATCH(D462,'05_副属性基础'!$G$2:$G$13,0))</f>
        <v/>
      </c>
      <c r="H462" s="3">
        <f>INDEX('02_品质等级'!$G$2:$G$6,MATCH(C462,'02_品质等级'!$A$2:$A$6,0))</f>
        <v/>
      </c>
      <c r="I462" s="3">
        <f>INDEX('02_品质等级'!$H$2:$H$6,MATCH(C462,'02_品质等级'!$A$2:$A$6,0))</f>
        <v/>
      </c>
      <c r="J462" s="3">
        <f>E462*F462*G462*H462</f>
        <v/>
      </c>
      <c r="K462" s="3">
        <f>E462*F462*G462*I462</f>
        <v/>
      </c>
    </row>
    <row r="463">
      <c r="A463" s="2" t="inlineStr">
        <is>
          <t>暴击伤害等级</t>
        </is>
      </c>
      <c r="B463" s="2" t="inlineStr">
        <is>
          <t>固定值</t>
        </is>
      </c>
      <c r="C463" s="2" t="inlineStr">
        <is>
          <t>金</t>
        </is>
      </c>
      <c r="D463" s="2" t="n">
        <v>30</v>
      </c>
      <c r="E463" s="3">
        <f>INDEX('05_副属性基础'!$C$2:$C$11,MATCH(A463,'05_副属性基础'!$A$2:$A$11,0))</f>
        <v/>
      </c>
      <c r="F463" s="3">
        <f>INDEX('02_品质等级'!$D$2:$D$6,MATCH(C463,'02_品质等级'!$A$2:$A$6,0))</f>
        <v/>
      </c>
      <c r="G463" s="3">
        <f>INDEX('05_副属性基础'!$I$2:$I$13,MATCH(D463,'05_副属性基础'!$G$2:$G$13,0))</f>
        <v/>
      </c>
      <c r="H463" s="3">
        <f>INDEX('02_品质等级'!$G$2:$G$6,MATCH(C463,'02_品质等级'!$A$2:$A$6,0))</f>
        <v/>
      </c>
      <c r="I463" s="3">
        <f>INDEX('02_品质等级'!$H$2:$H$6,MATCH(C463,'02_品质等级'!$A$2:$A$6,0))</f>
        <v/>
      </c>
      <c r="J463" s="3">
        <f>E463*F463*G463*H463</f>
        <v/>
      </c>
      <c r="K463" s="3">
        <f>E463*F463*G463*I463</f>
        <v/>
      </c>
    </row>
    <row r="464">
      <c r="A464" s="2" t="inlineStr">
        <is>
          <t>暴击伤害等级</t>
        </is>
      </c>
      <c r="B464" s="2" t="inlineStr">
        <is>
          <t>固定值</t>
        </is>
      </c>
      <c r="C464" s="2" t="inlineStr">
        <is>
          <t>金</t>
        </is>
      </c>
      <c r="D464" s="2" t="n">
        <v>35</v>
      </c>
      <c r="E464" s="3">
        <f>INDEX('05_副属性基础'!$C$2:$C$11,MATCH(A464,'05_副属性基础'!$A$2:$A$11,0))</f>
        <v/>
      </c>
      <c r="F464" s="3">
        <f>INDEX('02_品质等级'!$D$2:$D$6,MATCH(C464,'02_品质等级'!$A$2:$A$6,0))</f>
        <v/>
      </c>
      <c r="G464" s="3">
        <f>INDEX('05_副属性基础'!$I$2:$I$13,MATCH(D464,'05_副属性基础'!$G$2:$G$13,0))</f>
        <v/>
      </c>
      <c r="H464" s="3">
        <f>INDEX('02_品质等级'!$G$2:$G$6,MATCH(C464,'02_品质等级'!$A$2:$A$6,0))</f>
        <v/>
      </c>
      <c r="I464" s="3">
        <f>INDEX('02_品质等级'!$H$2:$H$6,MATCH(C464,'02_品质等级'!$A$2:$A$6,0))</f>
        <v/>
      </c>
      <c r="J464" s="3">
        <f>E464*F464*G464*H464</f>
        <v/>
      </c>
      <c r="K464" s="3">
        <f>E464*F464*G464*I464</f>
        <v/>
      </c>
    </row>
    <row r="465">
      <c r="A465" s="2" t="inlineStr">
        <is>
          <t>暴击伤害等级</t>
        </is>
      </c>
      <c r="B465" s="2" t="inlineStr">
        <is>
          <t>固定值</t>
        </is>
      </c>
      <c r="C465" s="2" t="inlineStr">
        <is>
          <t>金</t>
        </is>
      </c>
      <c r="D465" s="2" t="n">
        <v>40</v>
      </c>
      <c r="E465" s="3">
        <f>INDEX('05_副属性基础'!$C$2:$C$11,MATCH(A465,'05_副属性基础'!$A$2:$A$11,0))</f>
        <v/>
      </c>
      <c r="F465" s="3">
        <f>INDEX('02_品质等级'!$D$2:$D$6,MATCH(C465,'02_品质等级'!$A$2:$A$6,0))</f>
        <v/>
      </c>
      <c r="G465" s="3">
        <f>INDEX('05_副属性基础'!$I$2:$I$13,MATCH(D465,'05_副属性基础'!$G$2:$G$13,0))</f>
        <v/>
      </c>
      <c r="H465" s="3">
        <f>INDEX('02_品质等级'!$G$2:$G$6,MATCH(C465,'02_品质等级'!$A$2:$A$6,0))</f>
        <v/>
      </c>
      <c r="I465" s="3">
        <f>INDEX('02_品质等级'!$H$2:$H$6,MATCH(C465,'02_品质等级'!$A$2:$A$6,0))</f>
        <v/>
      </c>
      <c r="J465" s="3">
        <f>E465*F465*G465*H465</f>
        <v/>
      </c>
      <c r="K465" s="3">
        <f>E465*F465*G465*I465</f>
        <v/>
      </c>
    </row>
    <row r="466">
      <c r="A466" s="2" t="inlineStr">
        <is>
          <t>暴击伤害等级</t>
        </is>
      </c>
      <c r="B466" s="2" t="inlineStr">
        <is>
          <t>固定值</t>
        </is>
      </c>
      <c r="C466" s="2" t="inlineStr">
        <is>
          <t>金</t>
        </is>
      </c>
      <c r="D466" s="2" t="n">
        <v>45</v>
      </c>
      <c r="E466" s="3">
        <f>INDEX('05_副属性基础'!$C$2:$C$11,MATCH(A466,'05_副属性基础'!$A$2:$A$11,0))</f>
        <v/>
      </c>
      <c r="F466" s="3">
        <f>INDEX('02_品质等级'!$D$2:$D$6,MATCH(C466,'02_品质等级'!$A$2:$A$6,0))</f>
        <v/>
      </c>
      <c r="G466" s="3">
        <f>INDEX('05_副属性基础'!$I$2:$I$13,MATCH(D466,'05_副属性基础'!$G$2:$G$13,0))</f>
        <v/>
      </c>
      <c r="H466" s="3">
        <f>INDEX('02_品质等级'!$G$2:$G$6,MATCH(C466,'02_品质等级'!$A$2:$A$6,0))</f>
        <v/>
      </c>
      <c r="I466" s="3">
        <f>INDEX('02_品质等级'!$H$2:$H$6,MATCH(C466,'02_品质等级'!$A$2:$A$6,0))</f>
        <v/>
      </c>
      <c r="J466" s="3">
        <f>E466*F466*G466*H466</f>
        <v/>
      </c>
      <c r="K466" s="3">
        <f>E466*F466*G466*I466</f>
        <v/>
      </c>
    </row>
    <row r="467">
      <c r="A467" s="2" t="inlineStr">
        <is>
          <t>暴击伤害等级</t>
        </is>
      </c>
      <c r="B467" s="2" t="inlineStr">
        <is>
          <t>固定值</t>
        </is>
      </c>
      <c r="C467" s="2" t="inlineStr">
        <is>
          <t>金</t>
        </is>
      </c>
      <c r="D467" s="2" t="n">
        <v>50</v>
      </c>
      <c r="E467" s="3">
        <f>INDEX('05_副属性基础'!$C$2:$C$11,MATCH(A467,'05_副属性基础'!$A$2:$A$11,0))</f>
        <v/>
      </c>
      <c r="F467" s="3">
        <f>INDEX('02_品质等级'!$D$2:$D$6,MATCH(C467,'02_品质等级'!$A$2:$A$6,0))</f>
        <v/>
      </c>
      <c r="G467" s="3">
        <f>INDEX('05_副属性基础'!$I$2:$I$13,MATCH(D467,'05_副属性基础'!$G$2:$G$13,0))</f>
        <v/>
      </c>
      <c r="H467" s="3">
        <f>INDEX('02_品质等级'!$G$2:$G$6,MATCH(C467,'02_品质等级'!$A$2:$A$6,0))</f>
        <v/>
      </c>
      <c r="I467" s="3">
        <f>INDEX('02_品质等级'!$H$2:$H$6,MATCH(C467,'02_品质等级'!$A$2:$A$6,0))</f>
        <v/>
      </c>
      <c r="J467" s="3">
        <f>E467*F467*G467*H467</f>
        <v/>
      </c>
      <c r="K467" s="3">
        <f>E467*F467*G467*I467</f>
        <v/>
      </c>
    </row>
    <row r="468">
      <c r="A468" s="2" t="inlineStr">
        <is>
          <t>暴击伤害等级</t>
        </is>
      </c>
      <c r="B468" s="2" t="inlineStr">
        <is>
          <t>固定值</t>
        </is>
      </c>
      <c r="C468" s="2" t="inlineStr">
        <is>
          <t>金</t>
        </is>
      </c>
      <c r="D468" s="2" t="n">
        <v>55</v>
      </c>
      <c r="E468" s="3">
        <f>INDEX('05_副属性基础'!$C$2:$C$11,MATCH(A468,'05_副属性基础'!$A$2:$A$11,0))</f>
        <v/>
      </c>
      <c r="F468" s="3">
        <f>INDEX('02_品质等级'!$D$2:$D$6,MATCH(C468,'02_品质等级'!$A$2:$A$6,0))</f>
        <v/>
      </c>
      <c r="G468" s="3">
        <f>INDEX('05_副属性基础'!$I$2:$I$13,MATCH(D468,'05_副属性基础'!$G$2:$G$13,0))</f>
        <v/>
      </c>
      <c r="H468" s="3">
        <f>INDEX('02_品质等级'!$G$2:$G$6,MATCH(C468,'02_品质等级'!$A$2:$A$6,0))</f>
        <v/>
      </c>
      <c r="I468" s="3">
        <f>INDEX('02_品质等级'!$H$2:$H$6,MATCH(C468,'02_品质等级'!$A$2:$A$6,0))</f>
        <v/>
      </c>
      <c r="J468" s="3">
        <f>E468*F468*G468*H468</f>
        <v/>
      </c>
      <c r="K468" s="3">
        <f>E468*F468*G468*I468</f>
        <v/>
      </c>
    </row>
    <row r="469">
      <c r="A469" s="2" t="inlineStr">
        <is>
          <t>暴击伤害等级</t>
        </is>
      </c>
      <c r="B469" s="2" t="inlineStr">
        <is>
          <t>固定值</t>
        </is>
      </c>
      <c r="C469" s="2" t="inlineStr">
        <is>
          <t>金</t>
        </is>
      </c>
      <c r="D469" s="2" t="n">
        <v>60</v>
      </c>
      <c r="E469" s="3">
        <f>INDEX('05_副属性基础'!$C$2:$C$11,MATCH(A469,'05_副属性基础'!$A$2:$A$11,0))</f>
        <v/>
      </c>
      <c r="F469" s="3">
        <f>INDEX('02_品质等级'!$D$2:$D$6,MATCH(C469,'02_品质等级'!$A$2:$A$6,0))</f>
        <v/>
      </c>
      <c r="G469" s="3">
        <f>INDEX('05_副属性基础'!$I$2:$I$13,MATCH(D469,'05_副属性基础'!$G$2:$G$13,0))</f>
        <v/>
      </c>
      <c r="H469" s="3">
        <f>INDEX('02_品质等级'!$G$2:$G$6,MATCH(C469,'02_品质等级'!$A$2:$A$6,0))</f>
        <v/>
      </c>
      <c r="I469" s="3">
        <f>INDEX('02_品质等级'!$H$2:$H$6,MATCH(C469,'02_品质等级'!$A$2:$A$6,0))</f>
        <v/>
      </c>
      <c r="J469" s="3">
        <f>E469*F469*G469*H469</f>
        <v/>
      </c>
      <c r="K469" s="3">
        <f>E469*F469*G469*I469</f>
        <v/>
      </c>
    </row>
    <row r="470">
      <c r="A470" s="2" t="inlineStr">
        <is>
          <t>暴击伤害等级</t>
        </is>
      </c>
      <c r="B470" s="2" t="inlineStr">
        <is>
          <t>固定值</t>
        </is>
      </c>
      <c r="C470" s="2" t="inlineStr">
        <is>
          <t>红</t>
        </is>
      </c>
      <c r="D470" s="2" t="n">
        <v>5</v>
      </c>
      <c r="E470" s="3">
        <f>INDEX('05_副属性基础'!$C$2:$C$11,MATCH(A470,'05_副属性基础'!$A$2:$A$11,0))</f>
        <v/>
      </c>
      <c r="F470" s="3">
        <f>INDEX('02_品质等级'!$D$2:$D$6,MATCH(C470,'02_品质等级'!$A$2:$A$6,0))</f>
        <v/>
      </c>
      <c r="G470" s="3">
        <f>INDEX('05_副属性基础'!$I$2:$I$13,MATCH(D470,'05_副属性基础'!$G$2:$G$13,0))</f>
        <v/>
      </c>
      <c r="H470" s="3">
        <f>INDEX('02_品质等级'!$G$2:$G$6,MATCH(C470,'02_品质等级'!$A$2:$A$6,0))</f>
        <v/>
      </c>
      <c r="I470" s="3">
        <f>INDEX('02_品质等级'!$H$2:$H$6,MATCH(C470,'02_品质等级'!$A$2:$A$6,0))</f>
        <v/>
      </c>
      <c r="J470" s="3">
        <f>E470*F470*G470*H470</f>
        <v/>
      </c>
      <c r="K470" s="3">
        <f>E470*F470*G470*I470</f>
        <v/>
      </c>
    </row>
    <row r="471">
      <c r="A471" s="2" t="inlineStr">
        <is>
          <t>暴击伤害等级</t>
        </is>
      </c>
      <c r="B471" s="2" t="inlineStr">
        <is>
          <t>固定值</t>
        </is>
      </c>
      <c r="C471" s="2" t="inlineStr">
        <is>
          <t>红</t>
        </is>
      </c>
      <c r="D471" s="2" t="n">
        <v>10</v>
      </c>
      <c r="E471" s="3">
        <f>INDEX('05_副属性基础'!$C$2:$C$11,MATCH(A471,'05_副属性基础'!$A$2:$A$11,0))</f>
        <v/>
      </c>
      <c r="F471" s="3">
        <f>INDEX('02_品质等级'!$D$2:$D$6,MATCH(C471,'02_品质等级'!$A$2:$A$6,0))</f>
        <v/>
      </c>
      <c r="G471" s="3">
        <f>INDEX('05_副属性基础'!$I$2:$I$13,MATCH(D471,'05_副属性基础'!$G$2:$G$13,0))</f>
        <v/>
      </c>
      <c r="H471" s="3">
        <f>INDEX('02_品质等级'!$G$2:$G$6,MATCH(C471,'02_品质等级'!$A$2:$A$6,0))</f>
        <v/>
      </c>
      <c r="I471" s="3">
        <f>INDEX('02_品质等级'!$H$2:$H$6,MATCH(C471,'02_品质等级'!$A$2:$A$6,0))</f>
        <v/>
      </c>
      <c r="J471" s="3">
        <f>E471*F471*G471*H471</f>
        <v/>
      </c>
      <c r="K471" s="3">
        <f>E471*F471*G471*I471</f>
        <v/>
      </c>
    </row>
    <row r="472">
      <c r="A472" s="2" t="inlineStr">
        <is>
          <t>暴击伤害等级</t>
        </is>
      </c>
      <c r="B472" s="2" t="inlineStr">
        <is>
          <t>固定值</t>
        </is>
      </c>
      <c r="C472" s="2" t="inlineStr">
        <is>
          <t>红</t>
        </is>
      </c>
      <c r="D472" s="2" t="n">
        <v>15</v>
      </c>
      <c r="E472" s="3">
        <f>INDEX('05_副属性基础'!$C$2:$C$11,MATCH(A472,'05_副属性基础'!$A$2:$A$11,0))</f>
        <v/>
      </c>
      <c r="F472" s="3">
        <f>INDEX('02_品质等级'!$D$2:$D$6,MATCH(C472,'02_品质等级'!$A$2:$A$6,0))</f>
        <v/>
      </c>
      <c r="G472" s="3">
        <f>INDEX('05_副属性基础'!$I$2:$I$13,MATCH(D472,'05_副属性基础'!$G$2:$G$13,0))</f>
        <v/>
      </c>
      <c r="H472" s="3">
        <f>INDEX('02_品质等级'!$G$2:$G$6,MATCH(C472,'02_品质等级'!$A$2:$A$6,0))</f>
        <v/>
      </c>
      <c r="I472" s="3">
        <f>INDEX('02_品质等级'!$H$2:$H$6,MATCH(C472,'02_品质等级'!$A$2:$A$6,0))</f>
        <v/>
      </c>
      <c r="J472" s="3">
        <f>E472*F472*G472*H472</f>
        <v/>
      </c>
      <c r="K472" s="3">
        <f>E472*F472*G472*I472</f>
        <v/>
      </c>
    </row>
    <row r="473">
      <c r="A473" s="2" t="inlineStr">
        <is>
          <t>暴击伤害等级</t>
        </is>
      </c>
      <c r="B473" s="2" t="inlineStr">
        <is>
          <t>固定值</t>
        </is>
      </c>
      <c r="C473" s="2" t="inlineStr">
        <is>
          <t>红</t>
        </is>
      </c>
      <c r="D473" s="2" t="n">
        <v>20</v>
      </c>
      <c r="E473" s="3">
        <f>INDEX('05_副属性基础'!$C$2:$C$11,MATCH(A473,'05_副属性基础'!$A$2:$A$11,0))</f>
        <v/>
      </c>
      <c r="F473" s="3">
        <f>INDEX('02_品质等级'!$D$2:$D$6,MATCH(C473,'02_品质等级'!$A$2:$A$6,0))</f>
        <v/>
      </c>
      <c r="G473" s="3">
        <f>INDEX('05_副属性基础'!$I$2:$I$13,MATCH(D473,'05_副属性基础'!$G$2:$G$13,0))</f>
        <v/>
      </c>
      <c r="H473" s="3">
        <f>INDEX('02_品质等级'!$G$2:$G$6,MATCH(C473,'02_品质等级'!$A$2:$A$6,0))</f>
        <v/>
      </c>
      <c r="I473" s="3">
        <f>INDEX('02_品质等级'!$H$2:$H$6,MATCH(C473,'02_品质等级'!$A$2:$A$6,0))</f>
        <v/>
      </c>
      <c r="J473" s="3">
        <f>E473*F473*G473*H473</f>
        <v/>
      </c>
      <c r="K473" s="3">
        <f>E473*F473*G473*I473</f>
        <v/>
      </c>
    </row>
    <row r="474">
      <c r="A474" s="2" t="inlineStr">
        <is>
          <t>暴击伤害等级</t>
        </is>
      </c>
      <c r="B474" s="2" t="inlineStr">
        <is>
          <t>固定值</t>
        </is>
      </c>
      <c r="C474" s="2" t="inlineStr">
        <is>
          <t>红</t>
        </is>
      </c>
      <c r="D474" s="2" t="n">
        <v>25</v>
      </c>
      <c r="E474" s="3">
        <f>INDEX('05_副属性基础'!$C$2:$C$11,MATCH(A474,'05_副属性基础'!$A$2:$A$11,0))</f>
        <v/>
      </c>
      <c r="F474" s="3">
        <f>INDEX('02_品质等级'!$D$2:$D$6,MATCH(C474,'02_品质等级'!$A$2:$A$6,0))</f>
        <v/>
      </c>
      <c r="G474" s="3">
        <f>INDEX('05_副属性基础'!$I$2:$I$13,MATCH(D474,'05_副属性基础'!$G$2:$G$13,0))</f>
        <v/>
      </c>
      <c r="H474" s="3">
        <f>INDEX('02_品质等级'!$G$2:$G$6,MATCH(C474,'02_品质等级'!$A$2:$A$6,0))</f>
        <v/>
      </c>
      <c r="I474" s="3">
        <f>INDEX('02_品质等级'!$H$2:$H$6,MATCH(C474,'02_品质等级'!$A$2:$A$6,0))</f>
        <v/>
      </c>
      <c r="J474" s="3">
        <f>E474*F474*G474*H474</f>
        <v/>
      </c>
      <c r="K474" s="3">
        <f>E474*F474*G474*I474</f>
        <v/>
      </c>
    </row>
    <row r="475">
      <c r="A475" s="2" t="inlineStr">
        <is>
          <t>暴击伤害等级</t>
        </is>
      </c>
      <c r="B475" s="2" t="inlineStr">
        <is>
          <t>固定值</t>
        </is>
      </c>
      <c r="C475" s="2" t="inlineStr">
        <is>
          <t>红</t>
        </is>
      </c>
      <c r="D475" s="2" t="n">
        <v>30</v>
      </c>
      <c r="E475" s="3">
        <f>INDEX('05_副属性基础'!$C$2:$C$11,MATCH(A475,'05_副属性基础'!$A$2:$A$11,0))</f>
        <v/>
      </c>
      <c r="F475" s="3">
        <f>INDEX('02_品质等级'!$D$2:$D$6,MATCH(C475,'02_品质等级'!$A$2:$A$6,0))</f>
        <v/>
      </c>
      <c r="G475" s="3">
        <f>INDEX('05_副属性基础'!$I$2:$I$13,MATCH(D475,'05_副属性基础'!$G$2:$G$13,0))</f>
        <v/>
      </c>
      <c r="H475" s="3">
        <f>INDEX('02_品质等级'!$G$2:$G$6,MATCH(C475,'02_品质等级'!$A$2:$A$6,0))</f>
        <v/>
      </c>
      <c r="I475" s="3">
        <f>INDEX('02_品质等级'!$H$2:$H$6,MATCH(C475,'02_品质等级'!$A$2:$A$6,0))</f>
        <v/>
      </c>
      <c r="J475" s="3">
        <f>E475*F475*G475*H475</f>
        <v/>
      </c>
      <c r="K475" s="3">
        <f>E475*F475*G475*I475</f>
        <v/>
      </c>
    </row>
    <row r="476">
      <c r="A476" s="2" t="inlineStr">
        <is>
          <t>暴击伤害等级</t>
        </is>
      </c>
      <c r="B476" s="2" t="inlineStr">
        <is>
          <t>固定值</t>
        </is>
      </c>
      <c r="C476" s="2" t="inlineStr">
        <is>
          <t>红</t>
        </is>
      </c>
      <c r="D476" s="2" t="n">
        <v>35</v>
      </c>
      <c r="E476" s="3">
        <f>INDEX('05_副属性基础'!$C$2:$C$11,MATCH(A476,'05_副属性基础'!$A$2:$A$11,0))</f>
        <v/>
      </c>
      <c r="F476" s="3">
        <f>INDEX('02_品质等级'!$D$2:$D$6,MATCH(C476,'02_品质等级'!$A$2:$A$6,0))</f>
        <v/>
      </c>
      <c r="G476" s="3">
        <f>INDEX('05_副属性基础'!$I$2:$I$13,MATCH(D476,'05_副属性基础'!$G$2:$G$13,0))</f>
        <v/>
      </c>
      <c r="H476" s="3">
        <f>INDEX('02_品质等级'!$G$2:$G$6,MATCH(C476,'02_品质等级'!$A$2:$A$6,0))</f>
        <v/>
      </c>
      <c r="I476" s="3">
        <f>INDEX('02_品质等级'!$H$2:$H$6,MATCH(C476,'02_品质等级'!$A$2:$A$6,0))</f>
        <v/>
      </c>
      <c r="J476" s="3">
        <f>E476*F476*G476*H476</f>
        <v/>
      </c>
      <c r="K476" s="3">
        <f>E476*F476*G476*I476</f>
        <v/>
      </c>
    </row>
    <row r="477">
      <c r="A477" s="2" t="inlineStr">
        <is>
          <t>暴击伤害等级</t>
        </is>
      </c>
      <c r="B477" s="2" t="inlineStr">
        <is>
          <t>固定值</t>
        </is>
      </c>
      <c r="C477" s="2" t="inlineStr">
        <is>
          <t>红</t>
        </is>
      </c>
      <c r="D477" s="2" t="n">
        <v>40</v>
      </c>
      <c r="E477" s="3">
        <f>INDEX('05_副属性基础'!$C$2:$C$11,MATCH(A477,'05_副属性基础'!$A$2:$A$11,0))</f>
        <v/>
      </c>
      <c r="F477" s="3">
        <f>INDEX('02_品质等级'!$D$2:$D$6,MATCH(C477,'02_品质等级'!$A$2:$A$6,0))</f>
        <v/>
      </c>
      <c r="G477" s="3">
        <f>INDEX('05_副属性基础'!$I$2:$I$13,MATCH(D477,'05_副属性基础'!$G$2:$G$13,0))</f>
        <v/>
      </c>
      <c r="H477" s="3">
        <f>INDEX('02_品质等级'!$G$2:$G$6,MATCH(C477,'02_品质等级'!$A$2:$A$6,0))</f>
        <v/>
      </c>
      <c r="I477" s="3">
        <f>INDEX('02_品质等级'!$H$2:$H$6,MATCH(C477,'02_品质等级'!$A$2:$A$6,0))</f>
        <v/>
      </c>
      <c r="J477" s="3">
        <f>E477*F477*G477*H477</f>
        <v/>
      </c>
      <c r="K477" s="3">
        <f>E477*F477*G477*I477</f>
        <v/>
      </c>
    </row>
    <row r="478">
      <c r="A478" s="2" t="inlineStr">
        <is>
          <t>暴击伤害等级</t>
        </is>
      </c>
      <c r="B478" s="2" t="inlineStr">
        <is>
          <t>固定值</t>
        </is>
      </c>
      <c r="C478" s="2" t="inlineStr">
        <is>
          <t>红</t>
        </is>
      </c>
      <c r="D478" s="2" t="n">
        <v>45</v>
      </c>
      <c r="E478" s="3">
        <f>INDEX('05_副属性基础'!$C$2:$C$11,MATCH(A478,'05_副属性基础'!$A$2:$A$11,0))</f>
        <v/>
      </c>
      <c r="F478" s="3">
        <f>INDEX('02_品质等级'!$D$2:$D$6,MATCH(C478,'02_品质等级'!$A$2:$A$6,0))</f>
        <v/>
      </c>
      <c r="G478" s="3">
        <f>INDEX('05_副属性基础'!$I$2:$I$13,MATCH(D478,'05_副属性基础'!$G$2:$G$13,0))</f>
        <v/>
      </c>
      <c r="H478" s="3">
        <f>INDEX('02_品质等级'!$G$2:$G$6,MATCH(C478,'02_品质等级'!$A$2:$A$6,0))</f>
        <v/>
      </c>
      <c r="I478" s="3">
        <f>INDEX('02_品质等级'!$H$2:$H$6,MATCH(C478,'02_品质等级'!$A$2:$A$6,0))</f>
        <v/>
      </c>
      <c r="J478" s="3">
        <f>E478*F478*G478*H478</f>
        <v/>
      </c>
      <c r="K478" s="3">
        <f>E478*F478*G478*I478</f>
        <v/>
      </c>
    </row>
    <row r="479">
      <c r="A479" s="2" t="inlineStr">
        <is>
          <t>暴击伤害等级</t>
        </is>
      </c>
      <c r="B479" s="2" t="inlineStr">
        <is>
          <t>固定值</t>
        </is>
      </c>
      <c r="C479" s="2" t="inlineStr">
        <is>
          <t>红</t>
        </is>
      </c>
      <c r="D479" s="2" t="n">
        <v>50</v>
      </c>
      <c r="E479" s="3">
        <f>INDEX('05_副属性基础'!$C$2:$C$11,MATCH(A479,'05_副属性基础'!$A$2:$A$11,0))</f>
        <v/>
      </c>
      <c r="F479" s="3">
        <f>INDEX('02_品质等级'!$D$2:$D$6,MATCH(C479,'02_品质等级'!$A$2:$A$6,0))</f>
        <v/>
      </c>
      <c r="G479" s="3">
        <f>INDEX('05_副属性基础'!$I$2:$I$13,MATCH(D479,'05_副属性基础'!$G$2:$G$13,0))</f>
        <v/>
      </c>
      <c r="H479" s="3">
        <f>INDEX('02_品质等级'!$G$2:$G$6,MATCH(C479,'02_品质等级'!$A$2:$A$6,0))</f>
        <v/>
      </c>
      <c r="I479" s="3">
        <f>INDEX('02_品质等级'!$H$2:$H$6,MATCH(C479,'02_品质等级'!$A$2:$A$6,0))</f>
        <v/>
      </c>
      <c r="J479" s="3">
        <f>E479*F479*G479*H479</f>
        <v/>
      </c>
      <c r="K479" s="3">
        <f>E479*F479*G479*I479</f>
        <v/>
      </c>
    </row>
    <row r="480">
      <c r="A480" s="2" t="inlineStr">
        <is>
          <t>暴击伤害等级</t>
        </is>
      </c>
      <c r="B480" s="2" t="inlineStr">
        <is>
          <t>固定值</t>
        </is>
      </c>
      <c r="C480" s="2" t="inlineStr">
        <is>
          <t>红</t>
        </is>
      </c>
      <c r="D480" s="2" t="n">
        <v>55</v>
      </c>
      <c r="E480" s="3">
        <f>INDEX('05_副属性基础'!$C$2:$C$11,MATCH(A480,'05_副属性基础'!$A$2:$A$11,0))</f>
        <v/>
      </c>
      <c r="F480" s="3">
        <f>INDEX('02_品质等级'!$D$2:$D$6,MATCH(C480,'02_品质等级'!$A$2:$A$6,0))</f>
        <v/>
      </c>
      <c r="G480" s="3">
        <f>INDEX('05_副属性基础'!$I$2:$I$13,MATCH(D480,'05_副属性基础'!$G$2:$G$13,0))</f>
        <v/>
      </c>
      <c r="H480" s="3">
        <f>INDEX('02_品质等级'!$G$2:$G$6,MATCH(C480,'02_品质等级'!$A$2:$A$6,0))</f>
        <v/>
      </c>
      <c r="I480" s="3">
        <f>INDEX('02_品质等级'!$H$2:$H$6,MATCH(C480,'02_品质等级'!$A$2:$A$6,0))</f>
        <v/>
      </c>
      <c r="J480" s="3">
        <f>E480*F480*G480*H480</f>
        <v/>
      </c>
      <c r="K480" s="3">
        <f>E480*F480*G480*I480</f>
        <v/>
      </c>
    </row>
    <row r="481">
      <c r="A481" s="2" t="inlineStr">
        <is>
          <t>暴击伤害等级</t>
        </is>
      </c>
      <c r="B481" s="2" t="inlineStr">
        <is>
          <t>固定值</t>
        </is>
      </c>
      <c r="C481" s="2" t="inlineStr">
        <is>
          <t>红</t>
        </is>
      </c>
      <c r="D481" s="2" t="n">
        <v>60</v>
      </c>
      <c r="E481" s="3">
        <f>INDEX('05_副属性基础'!$C$2:$C$11,MATCH(A481,'05_副属性基础'!$A$2:$A$11,0))</f>
        <v/>
      </c>
      <c r="F481" s="3">
        <f>INDEX('02_品质等级'!$D$2:$D$6,MATCH(C481,'02_品质等级'!$A$2:$A$6,0))</f>
        <v/>
      </c>
      <c r="G481" s="3">
        <f>INDEX('05_副属性基础'!$I$2:$I$13,MATCH(D481,'05_副属性基础'!$G$2:$G$13,0))</f>
        <v/>
      </c>
      <c r="H481" s="3">
        <f>INDEX('02_品质等级'!$G$2:$G$6,MATCH(C481,'02_品质等级'!$A$2:$A$6,0))</f>
        <v/>
      </c>
      <c r="I481" s="3">
        <f>INDEX('02_品质等级'!$H$2:$H$6,MATCH(C481,'02_品质等级'!$A$2:$A$6,0))</f>
        <v/>
      </c>
      <c r="J481" s="3">
        <f>E481*F481*G481*H481</f>
        <v/>
      </c>
      <c r="K481" s="3">
        <f>E481*F481*G481*I481</f>
        <v/>
      </c>
    </row>
    <row r="482">
      <c r="A482" s="2" t="inlineStr">
        <is>
          <t>能量回复等级</t>
        </is>
      </c>
      <c r="B482" s="2" t="inlineStr">
        <is>
          <t>固定值</t>
        </is>
      </c>
      <c r="C482" s="2" t="inlineStr">
        <is>
          <t>绿</t>
        </is>
      </c>
      <c r="D482" s="2" t="n">
        <v>5</v>
      </c>
      <c r="E482" s="3">
        <f>INDEX('05_副属性基础'!$C$2:$C$11,MATCH(A482,'05_副属性基础'!$A$2:$A$11,0))</f>
        <v/>
      </c>
      <c r="F482" s="3">
        <f>INDEX('02_品质等级'!$D$2:$D$6,MATCH(C482,'02_品质等级'!$A$2:$A$6,0))</f>
        <v/>
      </c>
      <c r="G482" s="3">
        <f>INDEX('05_副属性基础'!$I$2:$I$13,MATCH(D482,'05_副属性基础'!$G$2:$G$13,0))</f>
        <v/>
      </c>
      <c r="H482" s="3">
        <f>INDEX('02_品质等级'!$G$2:$G$6,MATCH(C482,'02_品质等级'!$A$2:$A$6,0))</f>
        <v/>
      </c>
      <c r="I482" s="3">
        <f>INDEX('02_品质等级'!$H$2:$H$6,MATCH(C482,'02_品质等级'!$A$2:$A$6,0))</f>
        <v/>
      </c>
      <c r="J482" s="3">
        <f>E482*F482*G482*H482</f>
        <v/>
      </c>
      <c r="K482" s="3">
        <f>E482*F482*G482*I482</f>
        <v/>
      </c>
    </row>
    <row r="483">
      <c r="A483" s="2" t="inlineStr">
        <is>
          <t>能量回复等级</t>
        </is>
      </c>
      <c r="B483" s="2" t="inlineStr">
        <is>
          <t>固定值</t>
        </is>
      </c>
      <c r="C483" s="2" t="inlineStr">
        <is>
          <t>绿</t>
        </is>
      </c>
      <c r="D483" s="2" t="n">
        <v>10</v>
      </c>
      <c r="E483" s="3">
        <f>INDEX('05_副属性基础'!$C$2:$C$11,MATCH(A483,'05_副属性基础'!$A$2:$A$11,0))</f>
        <v/>
      </c>
      <c r="F483" s="3">
        <f>INDEX('02_品质等级'!$D$2:$D$6,MATCH(C483,'02_品质等级'!$A$2:$A$6,0))</f>
        <v/>
      </c>
      <c r="G483" s="3">
        <f>INDEX('05_副属性基础'!$I$2:$I$13,MATCH(D483,'05_副属性基础'!$G$2:$G$13,0))</f>
        <v/>
      </c>
      <c r="H483" s="3">
        <f>INDEX('02_品质等级'!$G$2:$G$6,MATCH(C483,'02_品质等级'!$A$2:$A$6,0))</f>
        <v/>
      </c>
      <c r="I483" s="3">
        <f>INDEX('02_品质等级'!$H$2:$H$6,MATCH(C483,'02_品质等级'!$A$2:$A$6,0))</f>
        <v/>
      </c>
      <c r="J483" s="3">
        <f>E483*F483*G483*H483</f>
        <v/>
      </c>
      <c r="K483" s="3">
        <f>E483*F483*G483*I483</f>
        <v/>
      </c>
    </row>
    <row r="484">
      <c r="A484" s="2" t="inlineStr">
        <is>
          <t>能量回复等级</t>
        </is>
      </c>
      <c r="B484" s="2" t="inlineStr">
        <is>
          <t>固定值</t>
        </is>
      </c>
      <c r="C484" s="2" t="inlineStr">
        <is>
          <t>绿</t>
        </is>
      </c>
      <c r="D484" s="2" t="n">
        <v>15</v>
      </c>
      <c r="E484" s="3">
        <f>INDEX('05_副属性基础'!$C$2:$C$11,MATCH(A484,'05_副属性基础'!$A$2:$A$11,0))</f>
        <v/>
      </c>
      <c r="F484" s="3">
        <f>INDEX('02_品质等级'!$D$2:$D$6,MATCH(C484,'02_品质等级'!$A$2:$A$6,0))</f>
        <v/>
      </c>
      <c r="G484" s="3">
        <f>INDEX('05_副属性基础'!$I$2:$I$13,MATCH(D484,'05_副属性基础'!$G$2:$G$13,0))</f>
        <v/>
      </c>
      <c r="H484" s="3">
        <f>INDEX('02_品质等级'!$G$2:$G$6,MATCH(C484,'02_品质等级'!$A$2:$A$6,0))</f>
        <v/>
      </c>
      <c r="I484" s="3">
        <f>INDEX('02_品质等级'!$H$2:$H$6,MATCH(C484,'02_品质等级'!$A$2:$A$6,0))</f>
        <v/>
      </c>
      <c r="J484" s="3">
        <f>E484*F484*G484*H484</f>
        <v/>
      </c>
      <c r="K484" s="3">
        <f>E484*F484*G484*I484</f>
        <v/>
      </c>
    </row>
    <row r="485">
      <c r="A485" s="2" t="inlineStr">
        <is>
          <t>能量回复等级</t>
        </is>
      </c>
      <c r="B485" s="2" t="inlineStr">
        <is>
          <t>固定值</t>
        </is>
      </c>
      <c r="C485" s="2" t="inlineStr">
        <is>
          <t>绿</t>
        </is>
      </c>
      <c r="D485" s="2" t="n">
        <v>20</v>
      </c>
      <c r="E485" s="3">
        <f>INDEX('05_副属性基础'!$C$2:$C$11,MATCH(A485,'05_副属性基础'!$A$2:$A$11,0))</f>
        <v/>
      </c>
      <c r="F485" s="3">
        <f>INDEX('02_品质等级'!$D$2:$D$6,MATCH(C485,'02_品质等级'!$A$2:$A$6,0))</f>
        <v/>
      </c>
      <c r="G485" s="3">
        <f>INDEX('05_副属性基础'!$I$2:$I$13,MATCH(D485,'05_副属性基础'!$G$2:$G$13,0))</f>
        <v/>
      </c>
      <c r="H485" s="3">
        <f>INDEX('02_品质等级'!$G$2:$G$6,MATCH(C485,'02_品质等级'!$A$2:$A$6,0))</f>
        <v/>
      </c>
      <c r="I485" s="3">
        <f>INDEX('02_品质等级'!$H$2:$H$6,MATCH(C485,'02_品质等级'!$A$2:$A$6,0))</f>
        <v/>
      </c>
      <c r="J485" s="3">
        <f>E485*F485*G485*H485</f>
        <v/>
      </c>
      <c r="K485" s="3">
        <f>E485*F485*G485*I485</f>
        <v/>
      </c>
    </row>
    <row r="486">
      <c r="A486" s="2" t="inlineStr">
        <is>
          <t>能量回复等级</t>
        </is>
      </c>
      <c r="B486" s="2" t="inlineStr">
        <is>
          <t>固定值</t>
        </is>
      </c>
      <c r="C486" s="2" t="inlineStr">
        <is>
          <t>绿</t>
        </is>
      </c>
      <c r="D486" s="2" t="n">
        <v>25</v>
      </c>
      <c r="E486" s="3">
        <f>INDEX('05_副属性基础'!$C$2:$C$11,MATCH(A486,'05_副属性基础'!$A$2:$A$11,0))</f>
        <v/>
      </c>
      <c r="F486" s="3">
        <f>INDEX('02_品质等级'!$D$2:$D$6,MATCH(C486,'02_品质等级'!$A$2:$A$6,0))</f>
        <v/>
      </c>
      <c r="G486" s="3">
        <f>INDEX('05_副属性基础'!$I$2:$I$13,MATCH(D486,'05_副属性基础'!$G$2:$G$13,0))</f>
        <v/>
      </c>
      <c r="H486" s="3">
        <f>INDEX('02_品质等级'!$G$2:$G$6,MATCH(C486,'02_品质等级'!$A$2:$A$6,0))</f>
        <v/>
      </c>
      <c r="I486" s="3">
        <f>INDEX('02_品质等级'!$H$2:$H$6,MATCH(C486,'02_品质等级'!$A$2:$A$6,0))</f>
        <v/>
      </c>
      <c r="J486" s="3">
        <f>E486*F486*G486*H486</f>
        <v/>
      </c>
      <c r="K486" s="3">
        <f>E486*F486*G486*I486</f>
        <v/>
      </c>
    </row>
    <row r="487">
      <c r="A487" s="2" t="inlineStr">
        <is>
          <t>能量回复等级</t>
        </is>
      </c>
      <c r="B487" s="2" t="inlineStr">
        <is>
          <t>固定值</t>
        </is>
      </c>
      <c r="C487" s="2" t="inlineStr">
        <is>
          <t>绿</t>
        </is>
      </c>
      <c r="D487" s="2" t="n">
        <v>30</v>
      </c>
      <c r="E487" s="3">
        <f>INDEX('05_副属性基础'!$C$2:$C$11,MATCH(A487,'05_副属性基础'!$A$2:$A$11,0))</f>
        <v/>
      </c>
      <c r="F487" s="3">
        <f>INDEX('02_品质等级'!$D$2:$D$6,MATCH(C487,'02_品质等级'!$A$2:$A$6,0))</f>
        <v/>
      </c>
      <c r="G487" s="3">
        <f>INDEX('05_副属性基础'!$I$2:$I$13,MATCH(D487,'05_副属性基础'!$G$2:$G$13,0))</f>
        <v/>
      </c>
      <c r="H487" s="3">
        <f>INDEX('02_品质等级'!$G$2:$G$6,MATCH(C487,'02_品质等级'!$A$2:$A$6,0))</f>
        <v/>
      </c>
      <c r="I487" s="3">
        <f>INDEX('02_品质等级'!$H$2:$H$6,MATCH(C487,'02_品质等级'!$A$2:$A$6,0))</f>
        <v/>
      </c>
      <c r="J487" s="3">
        <f>E487*F487*G487*H487</f>
        <v/>
      </c>
      <c r="K487" s="3">
        <f>E487*F487*G487*I487</f>
        <v/>
      </c>
    </row>
    <row r="488">
      <c r="A488" s="2" t="inlineStr">
        <is>
          <t>能量回复等级</t>
        </is>
      </c>
      <c r="B488" s="2" t="inlineStr">
        <is>
          <t>固定值</t>
        </is>
      </c>
      <c r="C488" s="2" t="inlineStr">
        <is>
          <t>绿</t>
        </is>
      </c>
      <c r="D488" s="2" t="n">
        <v>35</v>
      </c>
      <c r="E488" s="3">
        <f>INDEX('05_副属性基础'!$C$2:$C$11,MATCH(A488,'05_副属性基础'!$A$2:$A$11,0))</f>
        <v/>
      </c>
      <c r="F488" s="3">
        <f>INDEX('02_品质等级'!$D$2:$D$6,MATCH(C488,'02_品质等级'!$A$2:$A$6,0))</f>
        <v/>
      </c>
      <c r="G488" s="3">
        <f>INDEX('05_副属性基础'!$I$2:$I$13,MATCH(D488,'05_副属性基础'!$G$2:$G$13,0))</f>
        <v/>
      </c>
      <c r="H488" s="3">
        <f>INDEX('02_品质等级'!$G$2:$G$6,MATCH(C488,'02_品质等级'!$A$2:$A$6,0))</f>
        <v/>
      </c>
      <c r="I488" s="3">
        <f>INDEX('02_品质等级'!$H$2:$H$6,MATCH(C488,'02_品质等级'!$A$2:$A$6,0))</f>
        <v/>
      </c>
      <c r="J488" s="3">
        <f>E488*F488*G488*H488</f>
        <v/>
      </c>
      <c r="K488" s="3">
        <f>E488*F488*G488*I488</f>
        <v/>
      </c>
    </row>
    <row r="489">
      <c r="A489" s="2" t="inlineStr">
        <is>
          <t>能量回复等级</t>
        </is>
      </c>
      <c r="B489" s="2" t="inlineStr">
        <is>
          <t>固定值</t>
        </is>
      </c>
      <c r="C489" s="2" t="inlineStr">
        <is>
          <t>绿</t>
        </is>
      </c>
      <c r="D489" s="2" t="n">
        <v>40</v>
      </c>
      <c r="E489" s="3">
        <f>INDEX('05_副属性基础'!$C$2:$C$11,MATCH(A489,'05_副属性基础'!$A$2:$A$11,0))</f>
        <v/>
      </c>
      <c r="F489" s="3">
        <f>INDEX('02_品质等级'!$D$2:$D$6,MATCH(C489,'02_品质等级'!$A$2:$A$6,0))</f>
        <v/>
      </c>
      <c r="G489" s="3">
        <f>INDEX('05_副属性基础'!$I$2:$I$13,MATCH(D489,'05_副属性基础'!$G$2:$G$13,0))</f>
        <v/>
      </c>
      <c r="H489" s="3">
        <f>INDEX('02_品质等级'!$G$2:$G$6,MATCH(C489,'02_品质等级'!$A$2:$A$6,0))</f>
        <v/>
      </c>
      <c r="I489" s="3">
        <f>INDEX('02_品质等级'!$H$2:$H$6,MATCH(C489,'02_品质等级'!$A$2:$A$6,0))</f>
        <v/>
      </c>
      <c r="J489" s="3">
        <f>E489*F489*G489*H489</f>
        <v/>
      </c>
      <c r="K489" s="3">
        <f>E489*F489*G489*I489</f>
        <v/>
      </c>
    </row>
    <row r="490">
      <c r="A490" s="2" t="inlineStr">
        <is>
          <t>能量回复等级</t>
        </is>
      </c>
      <c r="B490" s="2" t="inlineStr">
        <is>
          <t>固定值</t>
        </is>
      </c>
      <c r="C490" s="2" t="inlineStr">
        <is>
          <t>绿</t>
        </is>
      </c>
      <c r="D490" s="2" t="n">
        <v>45</v>
      </c>
      <c r="E490" s="3">
        <f>INDEX('05_副属性基础'!$C$2:$C$11,MATCH(A490,'05_副属性基础'!$A$2:$A$11,0))</f>
        <v/>
      </c>
      <c r="F490" s="3">
        <f>INDEX('02_品质等级'!$D$2:$D$6,MATCH(C490,'02_品质等级'!$A$2:$A$6,0))</f>
        <v/>
      </c>
      <c r="G490" s="3">
        <f>INDEX('05_副属性基础'!$I$2:$I$13,MATCH(D490,'05_副属性基础'!$G$2:$G$13,0))</f>
        <v/>
      </c>
      <c r="H490" s="3">
        <f>INDEX('02_品质等级'!$G$2:$G$6,MATCH(C490,'02_品质等级'!$A$2:$A$6,0))</f>
        <v/>
      </c>
      <c r="I490" s="3">
        <f>INDEX('02_品质等级'!$H$2:$H$6,MATCH(C490,'02_品质等级'!$A$2:$A$6,0))</f>
        <v/>
      </c>
      <c r="J490" s="3">
        <f>E490*F490*G490*H490</f>
        <v/>
      </c>
      <c r="K490" s="3">
        <f>E490*F490*G490*I490</f>
        <v/>
      </c>
    </row>
    <row r="491">
      <c r="A491" s="2" t="inlineStr">
        <is>
          <t>能量回复等级</t>
        </is>
      </c>
      <c r="B491" s="2" t="inlineStr">
        <is>
          <t>固定值</t>
        </is>
      </c>
      <c r="C491" s="2" t="inlineStr">
        <is>
          <t>绿</t>
        </is>
      </c>
      <c r="D491" s="2" t="n">
        <v>50</v>
      </c>
      <c r="E491" s="3">
        <f>INDEX('05_副属性基础'!$C$2:$C$11,MATCH(A491,'05_副属性基础'!$A$2:$A$11,0))</f>
        <v/>
      </c>
      <c r="F491" s="3">
        <f>INDEX('02_品质等级'!$D$2:$D$6,MATCH(C491,'02_品质等级'!$A$2:$A$6,0))</f>
        <v/>
      </c>
      <c r="G491" s="3">
        <f>INDEX('05_副属性基础'!$I$2:$I$13,MATCH(D491,'05_副属性基础'!$G$2:$G$13,0))</f>
        <v/>
      </c>
      <c r="H491" s="3">
        <f>INDEX('02_品质等级'!$G$2:$G$6,MATCH(C491,'02_品质等级'!$A$2:$A$6,0))</f>
        <v/>
      </c>
      <c r="I491" s="3">
        <f>INDEX('02_品质等级'!$H$2:$H$6,MATCH(C491,'02_品质等级'!$A$2:$A$6,0))</f>
        <v/>
      </c>
      <c r="J491" s="3">
        <f>E491*F491*G491*H491</f>
        <v/>
      </c>
      <c r="K491" s="3">
        <f>E491*F491*G491*I491</f>
        <v/>
      </c>
    </row>
    <row r="492">
      <c r="A492" s="2" t="inlineStr">
        <is>
          <t>能量回复等级</t>
        </is>
      </c>
      <c r="B492" s="2" t="inlineStr">
        <is>
          <t>固定值</t>
        </is>
      </c>
      <c r="C492" s="2" t="inlineStr">
        <is>
          <t>绿</t>
        </is>
      </c>
      <c r="D492" s="2" t="n">
        <v>55</v>
      </c>
      <c r="E492" s="3">
        <f>INDEX('05_副属性基础'!$C$2:$C$11,MATCH(A492,'05_副属性基础'!$A$2:$A$11,0))</f>
        <v/>
      </c>
      <c r="F492" s="3">
        <f>INDEX('02_品质等级'!$D$2:$D$6,MATCH(C492,'02_品质等级'!$A$2:$A$6,0))</f>
        <v/>
      </c>
      <c r="G492" s="3">
        <f>INDEX('05_副属性基础'!$I$2:$I$13,MATCH(D492,'05_副属性基础'!$G$2:$G$13,0))</f>
        <v/>
      </c>
      <c r="H492" s="3">
        <f>INDEX('02_品质等级'!$G$2:$G$6,MATCH(C492,'02_品质等级'!$A$2:$A$6,0))</f>
        <v/>
      </c>
      <c r="I492" s="3">
        <f>INDEX('02_品质等级'!$H$2:$H$6,MATCH(C492,'02_品质等级'!$A$2:$A$6,0))</f>
        <v/>
      </c>
      <c r="J492" s="3">
        <f>E492*F492*G492*H492</f>
        <v/>
      </c>
      <c r="K492" s="3">
        <f>E492*F492*G492*I492</f>
        <v/>
      </c>
    </row>
    <row r="493">
      <c r="A493" s="2" t="inlineStr">
        <is>
          <t>能量回复等级</t>
        </is>
      </c>
      <c r="B493" s="2" t="inlineStr">
        <is>
          <t>固定值</t>
        </is>
      </c>
      <c r="C493" s="2" t="inlineStr">
        <is>
          <t>绿</t>
        </is>
      </c>
      <c r="D493" s="2" t="n">
        <v>60</v>
      </c>
      <c r="E493" s="3">
        <f>INDEX('05_副属性基础'!$C$2:$C$11,MATCH(A493,'05_副属性基础'!$A$2:$A$11,0))</f>
        <v/>
      </c>
      <c r="F493" s="3">
        <f>INDEX('02_品质等级'!$D$2:$D$6,MATCH(C493,'02_品质等级'!$A$2:$A$6,0))</f>
        <v/>
      </c>
      <c r="G493" s="3">
        <f>INDEX('05_副属性基础'!$I$2:$I$13,MATCH(D493,'05_副属性基础'!$G$2:$G$13,0))</f>
        <v/>
      </c>
      <c r="H493" s="3">
        <f>INDEX('02_品质等级'!$G$2:$G$6,MATCH(C493,'02_品质等级'!$A$2:$A$6,0))</f>
        <v/>
      </c>
      <c r="I493" s="3">
        <f>INDEX('02_品质等级'!$H$2:$H$6,MATCH(C493,'02_品质等级'!$A$2:$A$6,0))</f>
        <v/>
      </c>
      <c r="J493" s="3">
        <f>E493*F493*G493*H493</f>
        <v/>
      </c>
      <c r="K493" s="3">
        <f>E493*F493*G493*I493</f>
        <v/>
      </c>
    </row>
    <row r="494">
      <c r="A494" s="2" t="inlineStr">
        <is>
          <t>能量回复等级</t>
        </is>
      </c>
      <c r="B494" s="2" t="inlineStr">
        <is>
          <t>固定值</t>
        </is>
      </c>
      <c r="C494" s="2" t="inlineStr">
        <is>
          <t>蓝</t>
        </is>
      </c>
      <c r="D494" s="2" t="n">
        <v>5</v>
      </c>
      <c r="E494" s="3">
        <f>INDEX('05_副属性基础'!$C$2:$C$11,MATCH(A494,'05_副属性基础'!$A$2:$A$11,0))</f>
        <v/>
      </c>
      <c r="F494" s="3">
        <f>INDEX('02_品质等级'!$D$2:$D$6,MATCH(C494,'02_品质等级'!$A$2:$A$6,0))</f>
        <v/>
      </c>
      <c r="G494" s="3">
        <f>INDEX('05_副属性基础'!$I$2:$I$13,MATCH(D494,'05_副属性基础'!$G$2:$G$13,0))</f>
        <v/>
      </c>
      <c r="H494" s="3">
        <f>INDEX('02_品质等级'!$G$2:$G$6,MATCH(C494,'02_品质等级'!$A$2:$A$6,0))</f>
        <v/>
      </c>
      <c r="I494" s="3">
        <f>INDEX('02_品质等级'!$H$2:$H$6,MATCH(C494,'02_品质等级'!$A$2:$A$6,0))</f>
        <v/>
      </c>
      <c r="J494" s="3">
        <f>E494*F494*G494*H494</f>
        <v/>
      </c>
      <c r="K494" s="3">
        <f>E494*F494*G494*I494</f>
        <v/>
      </c>
    </row>
    <row r="495">
      <c r="A495" s="2" t="inlineStr">
        <is>
          <t>能量回复等级</t>
        </is>
      </c>
      <c r="B495" s="2" t="inlineStr">
        <is>
          <t>固定值</t>
        </is>
      </c>
      <c r="C495" s="2" t="inlineStr">
        <is>
          <t>蓝</t>
        </is>
      </c>
      <c r="D495" s="2" t="n">
        <v>10</v>
      </c>
      <c r="E495" s="3">
        <f>INDEX('05_副属性基础'!$C$2:$C$11,MATCH(A495,'05_副属性基础'!$A$2:$A$11,0))</f>
        <v/>
      </c>
      <c r="F495" s="3">
        <f>INDEX('02_品质等级'!$D$2:$D$6,MATCH(C495,'02_品质等级'!$A$2:$A$6,0))</f>
        <v/>
      </c>
      <c r="G495" s="3">
        <f>INDEX('05_副属性基础'!$I$2:$I$13,MATCH(D495,'05_副属性基础'!$G$2:$G$13,0))</f>
        <v/>
      </c>
      <c r="H495" s="3">
        <f>INDEX('02_品质等级'!$G$2:$G$6,MATCH(C495,'02_品质等级'!$A$2:$A$6,0))</f>
        <v/>
      </c>
      <c r="I495" s="3">
        <f>INDEX('02_品质等级'!$H$2:$H$6,MATCH(C495,'02_品质等级'!$A$2:$A$6,0))</f>
        <v/>
      </c>
      <c r="J495" s="3">
        <f>E495*F495*G495*H495</f>
        <v/>
      </c>
      <c r="K495" s="3">
        <f>E495*F495*G495*I495</f>
        <v/>
      </c>
    </row>
    <row r="496">
      <c r="A496" s="2" t="inlineStr">
        <is>
          <t>能量回复等级</t>
        </is>
      </c>
      <c r="B496" s="2" t="inlineStr">
        <is>
          <t>固定值</t>
        </is>
      </c>
      <c r="C496" s="2" t="inlineStr">
        <is>
          <t>蓝</t>
        </is>
      </c>
      <c r="D496" s="2" t="n">
        <v>15</v>
      </c>
      <c r="E496" s="3">
        <f>INDEX('05_副属性基础'!$C$2:$C$11,MATCH(A496,'05_副属性基础'!$A$2:$A$11,0))</f>
        <v/>
      </c>
      <c r="F496" s="3">
        <f>INDEX('02_品质等级'!$D$2:$D$6,MATCH(C496,'02_品质等级'!$A$2:$A$6,0))</f>
        <v/>
      </c>
      <c r="G496" s="3">
        <f>INDEX('05_副属性基础'!$I$2:$I$13,MATCH(D496,'05_副属性基础'!$G$2:$G$13,0))</f>
        <v/>
      </c>
      <c r="H496" s="3">
        <f>INDEX('02_品质等级'!$G$2:$G$6,MATCH(C496,'02_品质等级'!$A$2:$A$6,0))</f>
        <v/>
      </c>
      <c r="I496" s="3">
        <f>INDEX('02_品质等级'!$H$2:$H$6,MATCH(C496,'02_品质等级'!$A$2:$A$6,0))</f>
        <v/>
      </c>
      <c r="J496" s="3">
        <f>E496*F496*G496*H496</f>
        <v/>
      </c>
      <c r="K496" s="3">
        <f>E496*F496*G496*I496</f>
        <v/>
      </c>
    </row>
    <row r="497">
      <c r="A497" s="2" t="inlineStr">
        <is>
          <t>能量回复等级</t>
        </is>
      </c>
      <c r="B497" s="2" t="inlineStr">
        <is>
          <t>固定值</t>
        </is>
      </c>
      <c r="C497" s="2" t="inlineStr">
        <is>
          <t>蓝</t>
        </is>
      </c>
      <c r="D497" s="2" t="n">
        <v>20</v>
      </c>
      <c r="E497" s="3">
        <f>INDEX('05_副属性基础'!$C$2:$C$11,MATCH(A497,'05_副属性基础'!$A$2:$A$11,0))</f>
        <v/>
      </c>
      <c r="F497" s="3">
        <f>INDEX('02_品质等级'!$D$2:$D$6,MATCH(C497,'02_品质等级'!$A$2:$A$6,0))</f>
        <v/>
      </c>
      <c r="G497" s="3">
        <f>INDEX('05_副属性基础'!$I$2:$I$13,MATCH(D497,'05_副属性基础'!$G$2:$G$13,0))</f>
        <v/>
      </c>
      <c r="H497" s="3">
        <f>INDEX('02_品质等级'!$G$2:$G$6,MATCH(C497,'02_品质等级'!$A$2:$A$6,0))</f>
        <v/>
      </c>
      <c r="I497" s="3">
        <f>INDEX('02_品质等级'!$H$2:$H$6,MATCH(C497,'02_品质等级'!$A$2:$A$6,0))</f>
        <v/>
      </c>
      <c r="J497" s="3">
        <f>E497*F497*G497*H497</f>
        <v/>
      </c>
      <c r="K497" s="3">
        <f>E497*F497*G497*I497</f>
        <v/>
      </c>
    </row>
    <row r="498">
      <c r="A498" s="2" t="inlineStr">
        <is>
          <t>能量回复等级</t>
        </is>
      </c>
      <c r="B498" s="2" t="inlineStr">
        <is>
          <t>固定值</t>
        </is>
      </c>
      <c r="C498" s="2" t="inlineStr">
        <is>
          <t>蓝</t>
        </is>
      </c>
      <c r="D498" s="2" t="n">
        <v>25</v>
      </c>
      <c r="E498" s="3">
        <f>INDEX('05_副属性基础'!$C$2:$C$11,MATCH(A498,'05_副属性基础'!$A$2:$A$11,0))</f>
        <v/>
      </c>
      <c r="F498" s="3">
        <f>INDEX('02_品质等级'!$D$2:$D$6,MATCH(C498,'02_品质等级'!$A$2:$A$6,0))</f>
        <v/>
      </c>
      <c r="G498" s="3">
        <f>INDEX('05_副属性基础'!$I$2:$I$13,MATCH(D498,'05_副属性基础'!$G$2:$G$13,0))</f>
        <v/>
      </c>
      <c r="H498" s="3">
        <f>INDEX('02_品质等级'!$G$2:$G$6,MATCH(C498,'02_品质等级'!$A$2:$A$6,0))</f>
        <v/>
      </c>
      <c r="I498" s="3">
        <f>INDEX('02_品质等级'!$H$2:$H$6,MATCH(C498,'02_品质等级'!$A$2:$A$6,0))</f>
        <v/>
      </c>
      <c r="J498" s="3">
        <f>E498*F498*G498*H498</f>
        <v/>
      </c>
      <c r="K498" s="3">
        <f>E498*F498*G498*I498</f>
        <v/>
      </c>
    </row>
    <row r="499">
      <c r="A499" s="2" t="inlineStr">
        <is>
          <t>能量回复等级</t>
        </is>
      </c>
      <c r="B499" s="2" t="inlineStr">
        <is>
          <t>固定值</t>
        </is>
      </c>
      <c r="C499" s="2" t="inlineStr">
        <is>
          <t>蓝</t>
        </is>
      </c>
      <c r="D499" s="2" t="n">
        <v>30</v>
      </c>
      <c r="E499" s="3">
        <f>INDEX('05_副属性基础'!$C$2:$C$11,MATCH(A499,'05_副属性基础'!$A$2:$A$11,0))</f>
        <v/>
      </c>
      <c r="F499" s="3">
        <f>INDEX('02_品质等级'!$D$2:$D$6,MATCH(C499,'02_品质等级'!$A$2:$A$6,0))</f>
        <v/>
      </c>
      <c r="G499" s="3">
        <f>INDEX('05_副属性基础'!$I$2:$I$13,MATCH(D499,'05_副属性基础'!$G$2:$G$13,0))</f>
        <v/>
      </c>
      <c r="H499" s="3">
        <f>INDEX('02_品质等级'!$G$2:$G$6,MATCH(C499,'02_品质等级'!$A$2:$A$6,0))</f>
        <v/>
      </c>
      <c r="I499" s="3">
        <f>INDEX('02_品质等级'!$H$2:$H$6,MATCH(C499,'02_品质等级'!$A$2:$A$6,0))</f>
        <v/>
      </c>
      <c r="J499" s="3">
        <f>E499*F499*G499*H499</f>
        <v/>
      </c>
      <c r="K499" s="3">
        <f>E499*F499*G499*I499</f>
        <v/>
      </c>
    </row>
    <row r="500">
      <c r="A500" s="2" t="inlineStr">
        <is>
          <t>能量回复等级</t>
        </is>
      </c>
      <c r="B500" s="2" t="inlineStr">
        <is>
          <t>固定值</t>
        </is>
      </c>
      <c r="C500" s="2" t="inlineStr">
        <is>
          <t>蓝</t>
        </is>
      </c>
      <c r="D500" s="2" t="n">
        <v>35</v>
      </c>
      <c r="E500" s="3">
        <f>INDEX('05_副属性基础'!$C$2:$C$11,MATCH(A500,'05_副属性基础'!$A$2:$A$11,0))</f>
        <v/>
      </c>
      <c r="F500" s="3">
        <f>INDEX('02_品质等级'!$D$2:$D$6,MATCH(C500,'02_品质等级'!$A$2:$A$6,0))</f>
        <v/>
      </c>
      <c r="G500" s="3">
        <f>INDEX('05_副属性基础'!$I$2:$I$13,MATCH(D500,'05_副属性基础'!$G$2:$G$13,0))</f>
        <v/>
      </c>
      <c r="H500" s="3">
        <f>INDEX('02_品质等级'!$G$2:$G$6,MATCH(C500,'02_品质等级'!$A$2:$A$6,0))</f>
        <v/>
      </c>
      <c r="I500" s="3">
        <f>INDEX('02_品质等级'!$H$2:$H$6,MATCH(C500,'02_品质等级'!$A$2:$A$6,0))</f>
        <v/>
      </c>
      <c r="J500" s="3">
        <f>E500*F500*G500*H500</f>
        <v/>
      </c>
      <c r="K500" s="3">
        <f>E500*F500*G500*I500</f>
        <v/>
      </c>
    </row>
    <row r="501">
      <c r="A501" s="2" t="inlineStr">
        <is>
          <t>能量回复等级</t>
        </is>
      </c>
      <c r="B501" s="2" t="inlineStr">
        <is>
          <t>固定值</t>
        </is>
      </c>
      <c r="C501" s="2" t="inlineStr">
        <is>
          <t>蓝</t>
        </is>
      </c>
      <c r="D501" s="2" t="n">
        <v>40</v>
      </c>
      <c r="E501" s="3">
        <f>INDEX('05_副属性基础'!$C$2:$C$11,MATCH(A501,'05_副属性基础'!$A$2:$A$11,0))</f>
        <v/>
      </c>
      <c r="F501" s="3">
        <f>INDEX('02_品质等级'!$D$2:$D$6,MATCH(C501,'02_品质等级'!$A$2:$A$6,0))</f>
        <v/>
      </c>
      <c r="G501" s="3">
        <f>INDEX('05_副属性基础'!$I$2:$I$13,MATCH(D501,'05_副属性基础'!$G$2:$G$13,0))</f>
        <v/>
      </c>
      <c r="H501" s="3">
        <f>INDEX('02_品质等级'!$G$2:$G$6,MATCH(C501,'02_品质等级'!$A$2:$A$6,0))</f>
        <v/>
      </c>
      <c r="I501" s="3">
        <f>INDEX('02_品质等级'!$H$2:$H$6,MATCH(C501,'02_品质等级'!$A$2:$A$6,0))</f>
        <v/>
      </c>
      <c r="J501" s="3">
        <f>E501*F501*G501*H501</f>
        <v/>
      </c>
      <c r="K501" s="3">
        <f>E501*F501*G501*I501</f>
        <v/>
      </c>
    </row>
    <row r="502">
      <c r="A502" s="2" t="inlineStr">
        <is>
          <t>能量回复等级</t>
        </is>
      </c>
      <c r="B502" s="2" t="inlineStr">
        <is>
          <t>固定值</t>
        </is>
      </c>
      <c r="C502" s="2" t="inlineStr">
        <is>
          <t>蓝</t>
        </is>
      </c>
      <c r="D502" s="2" t="n">
        <v>45</v>
      </c>
      <c r="E502" s="3">
        <f>INDEX('05_副属性基础'!$C$2:$C$11,MATCH(A502,'05_副属性基础'!$A$2:$A$11,0))</f>
        <v/>
      </c>
      <c r="F502" s="3">
        <f>INDEX('02_品质等级'!$D$2:$D$6,MATCH(C502,'02_品质等级'!$A$2:$A$6,0))</f>
        <v/>
      </c>
      <c r="G502" s="3">
        <f>INDEX('05_副属性基础'!$I$2:$I$13,MATCH(D502,'05_副属性基础'!$G$2:$G$13,0))</f>
        <v/>
      </c>
      <c r="H502" s="3">
        <f>INDEX('02_品质等级'!$G$2:$G$6,MATCH(C502,'02_品质等级'!$A$2:$A$6,0))</f>
        <v/>
      </c>
      <c r="I502" s="3">
        <f>INDEX('02_品质等级'!$H$2:$H$6,MATCH(C502,'02_品质等级'!$A$2:$A$6,0))</f>
        <v/>
      </c>
      <c r="J502" s="3">
        <f>E502*F502*G502*H502</f>
        <v/>
      </c>
      <c r="K502" s="3">
        <f>E502*F502*G502*I502</f>
        <v/>
      </c>
    </row>
    <row r="503">
      <c r="A503" s="2" t="inlineStr">
        <is>
          <t>能量回复等级</t>
        </is>
      </c>
      <c r="B503" s="2" t="inlineStr">
        <is>
          <t>固定值</t>
        </is>
      </c>
      <c r="C503" s="2" t="inlineStr">
        <is>
          <t>蓝</t>
        </is>
      </c>
      <c r="D503" s="2" t="n">
        <v>50</v>
      </c>
      <c r="E503" s="3">
        <f>INDEX('05_副属性基础'!$C$2:$C$11,MATCH(A503,'05_副属性基础'!$A$2:$A$11,0))</f>
        <v/>
      </c>
      <c r="F503" s="3">
        <f>INDEX('02_品质等级'!$D$2:$D$6,MATCH(C503,'02_品质等级'!$A$2:$A$6,0))</f>
        <v/>
      </c>
      <c r="G503" s="3">
        <f>INDEX('05_副属性基础'!$I$2:$I$13,MATCH(D503,'05_副属性基础'!$G$2:$G$13,0))</f>
        <v/>
      </c>
      <c r="H503" s="3">
        <f>INDEX('02_品质等级'!$G$2:$G$6,MATCH(C503,'02_品质等级'!$A$2:$A$6,0))</f>
        <v/>
      </c>
      <c r="I503" s="3">
        <f>INDEX('02_品质等级'!$H$2:$H$6,MATCH(C503,'02_品质等级'!$A$2:$A$6,0))</f>
        <v/>
      </c>
      <c r="J503" s="3">
        <f>E503*F503*G503*H503</f>
        <v/>
      </c>
      <c r="K503" s="3">
        <f>E503*F503*G503*I503</f>
        <v/>
      </c>
    </row>
    <row r="504">
      <c r="A504" s="2" t="inlineStr">
        <is>
          <t>能量回复等级</t>
        </is>
      </c>
      <c r="B504" s="2" t="inlineStr">
        <is>
          <t>固定值</t>
        </is>
      </c>
      <c r="C504" s="2" t="inlineStr">
        <is>
          <t>蓝</t>
        </is>
      </c>
      <c r="D504" s="2" t="n">
        <v>55</v>
      </c>
      <c r="E504" s="3">
        <f>INDEX('05_副属性基础'!$C$2:$C$11,MATCH(A504,'05_副属性基础'!$A$2:$A$11,0))</f>
        <v/>
      </c>
      <c r="F504" s="3">
        <f>INDEX('02_品质等级'!$D$2:$D$6,MATCH(C504,'02_品质等级'!$A$2:$A$6,0))</f>
        <v/>
      </c>
      <c r="G504" s="3">
        <f>INDEX('05_副属性基础'!$I$2:$I$13,MATCH(D504,'05_副属性基础'!$G$2:$G$13,0))</f>
        <v/>
      </c>
      <c r="H504" s="3">
        <f>INDEX('02_品质等级'!$G$2:$G$6,MATCH(C504,'02_品质等级'!$A$2:$A$6,0))</f>
        <v/>
      </c>
      <c r="I504" s="3">
        <f>INDEX('02_品质等级'!$H$2:$H$6,MATCH(C504,'02_品质等级'!$A$2:$A$6,0))</f>
        <v/>
      </c>
      <c r="J504" s="3">
        <f>E504*F504*G504*H504</f>
        <v/>
      </c>
      <c r="K504" s="3">
        <f>E504*F504*G504*I504</f>
        <v/>
      </c>
    </row>
    <row r="505">
      <c r="A505" s="2" t="inlineStr">
        <is>
          <t>能量回复等级</t>
        </is>
      </c>
      <c r="B505" s="2" t="inlineStr">
        <is>
          <t>固定值</t>
        </is>
      </c>
      <c r="C505" s="2" t="inlineStr">
        <is>
          <t>蓝</t>
        </is>
      </c>
      <c r="D505" s="2" t="n">
        <v>60</v>
      </c>
      <c r="E505" s="3">
        <f>INDEX('05_副属性基础'!$C$2:$C$11,MATCH(A505,'05_副属性基础'!$A$2:$A$11,0))</f>
        <v/>
      </c>
      <c r="F505" s="3">
        <f>INDEX('02_品质等级'!$D$2:$D$6,MATCH(C505,'02_品质等级'!$A$2:$A$6,0))</f>
        <v/>
      </c>
      <c r="G505" s="3">
        <f>INDEX('05_副属性基础'!$I$2:$I$13,MATCH(D505,'05_副属性基础'!$G$2:$G$13,0))</f>
        <v/>
      </c>
      <c r="H505" s="3">
        <f>INDEX('02_品质等级'!$G$2:$G$6,MATCH(C505,'02_品质等级'!$A$2:$A$6,0))</f>
        <v/>
      </c>
      <c r="I505" s="3">
        <f>INDEX('02_品质等级'!$H$2:$H$6,MATCH(C505,'02_品质等级'!$A$2:$A$6,0))</f>
        <v/>
      </c>
      <c r="J505" s="3">
        <f>E505*F505*G505*H505</f>
        <v/>
      </c>
      <c r="K505" s="3">
        <f>E505*F505*G505*I505</f>
        <v/>
      </c>
    </row>
    <row r="506">
      <c r="A506" s="2" t="inlineStr">
        <is>
          <t>能量回复等级</t>
        </is>
      </c>
      <c r="B506" s="2" t="inlineStr">
        <is>
          <t>固定值</t>
        </is>
      </c>
      <c r="C506" s="2" t="inlineStr">
        <is>
          <t>紫</t>
        </is>
      </c>
      <c r="D506" s="2" t="n">
        <v>5</v>
      </c>
      <c r="E506" s="3">
        <f>INDEX('05_副属性基础'!$C$2:$C$11,MATCH(A506,'05_副属性基础'!$A$2:$A$11,0))</f>
        <v/>
      </c>
      <c r="F506" s="3">
        <f>INDEX('02_品质等级'!$D$2:$D$6,MATCH(C506,'02_品质等级'!$A$2:$A$6,0))</f>
        <v/>
      </c>
      <c r="G506" s="3">
        <f>INDEX('05_副属性基础'!$I$2:$I$13,MATCH(D506,'05_副属性基础'!$G$2:$G$13,0))</f>
        <v/>
      </c>
      <c r="H506" s="3">
        <f>INDEX('02_品质等级'!$G$2:$G$6,MATCH(C506,'02_品质等级'!$A$2:$A$6,0))</f>
        <v/>
      </c>
      <c r="I506" s="3">
        <f>INDEX('02_品质等级'!$H$2:$H$6,MATCH(C506,'02_品质等级'!$A$2:$A$6,0))</f>
        <v/>
      </c>
      <c r="J506" s="3">
        <f>E506*F506*G506*H506</f>
        <v/>
      </c>
      <c r="K506" s="3">
        <f>E506*F506*G506*I506</f>
        <v/>
      </c>
    </row>
    <row r="507">
      <c r="A507" s="2" t="inlineStr">
        <is>
          <t>能量回复等级</t>
        </is>
      </c>
      <c r="B507" s="2" t="inlineStr">
        <is>
          <t>固定值</t>
        </is>
      </c>
      <c r="C507" s="2" t="inlineStr">
        <is>
          <t>紫</t>
        </is>
      </c>
      <c r="D507" s="2" t="n">
        <v>10</v>
      </c>
      <c r="E507" s="3">
        <f>INDEX('05_副属性基础'!$C$2:$C$11,MATCH(A507,'05_副属性基础'!$A$2:$A$11,0))</f>
        <v/>
      </c>
      <c r="F507" s="3">
        <f>INDEX('02_品质等级'!$D$2:$D$6,MATCH(C507,'02_品质等级'!$A$2:$A$6,0))</f>
        <v/>
      </c>
      <c r="G507" s="3">
        <f>INDEX('05_副属性基础'!$I$2:$I$13,MATCH(D507,'05_副属性基础'!$G$2:$G$13,0))</f>
        <v/>
      </c>
      <c r="H507" s="3">
        <f>INDEX('02_品质等级'!$G$2:$G$6,MATCH(C507,'02_品质等级'!$A$2:$A$6,0))</f>
        <v/>
      </c>
      <c r="I507" s="3">
        <f>INDEX('02_品质等级'!$H$2:$H$6,MATCH(C507,'02_品质等级'!$A$2:$A$6,0))</f>
        <v/>
      </c>
      <c r="J507" s="3">
        <f>E507*F507*G507*H507</f>
        <v/>
      </c>
      <c r="K507" s="3">
        <f>E507*F507*G507*I507</f>
        <v/>
      </c>
    </row>
    <row r="508">
      <c r="A508" s="2" t="inlineStr">
        <is>
          <t>能量回复等级</t>
        </is>
      </c>
      <c r="B508" s="2" t="inlineStr">
        <is>
          <t>固定值</t>
        </is>
      </c>
      <c r="C508" s="2" t="inlineStr">
        <is>
          <t>紫</t>
        </is>
      </c>
      <c r="D508" s="2" t="n">
        <v>15</v>
      </c>
      <c r="E508" s="3">
        <f>INDEX('05_副属性基础'!$C$2:$C$11,MATCH(A508,'05_副属性基础'!$A$2:$A$11,0))</f>
        <v/>
      </c>
      <c r="F508" s="3">
        <f>INDEX('02_品质等级'!$D$2:$D$6,MATCH(C508,'02_品质等级'!$A$2:$A$6,0))</f>
        <v/>
      </c>
      <c r="G508" s="3">
        <f>INDEX('05_副属性基础'!$I$2:$I$13,MATCH(D508,'05_副属性基础'!$G$2:$G$13,0))</f>
        <v/>
      </c>
      <c r="H508" s="3">
        <f>INDEX('02_品质等级'!$G$2:$G$6,MATCH(C508,'02_品质等级'!$A$2:$A$6,0))</f>
        <v/>
      </c>
      <c r="I508" s="3">
        <f>INDEX('02_品质等级'!$H$2:$H$6,MATCH(C508,'02_品质等级'!$A$2:$A$6,0))</f>
        <v/>
      </c>
      <c r="J508" s="3">
        <f>E508*F508*G508*H508</f>
        <v/>
      </c>
      <c r="K508" s="3">
        <f>E508*F508*G508*I508</f>
        <v/>
      </c>
    </row>
    <row r="509">
      <c r="A509" s="2" t="inlineStr">
        <is>
          <t>能量回复等级</t>
        </is>
      </c>
      <c r="B509" s="2" t="inlineStr">
        <is>
          <t>固定值</t>
        </is>
      </c>
      <c r="C509" s="2" t="inlineStr">
        <is>
          <t>紫</t>
        </is>
      </c>
      <c r="D509" s="2" t="n">
        <v>20</v>
      </c>
      <c r="E509" s="3">
        <f>INDEX('05_副属性基础'!$C$2:$C$11,MATCH(A509,'05_副属性基础'!$A$2:$A$11,0))</f>
        <v/>
      </c>
      <c r="F509" s="3">
        <f>INDEX('02_品质等级'!$D$2:$D$6,MATCH(C509,'02_品质等级'!$A$2:$A$6,0))</f>
        <v/>
      </c>
      <c r="G509" s="3">
        <f>INDEX('05_副属性基础'!$I$2:$I$13,MATCH(D509,'05_副属性基础'!$G$2:$G$13,0))</f>
        <v/>
      </c>
      <c r="H509" s="3">
        <f>INDEX('02_品质等级'!$G$2:$G$6,MATCH(C509,'02_品质等级'!$A$2:$A$6,0))</f>
        <v/>
      </c>
      <c r="I509" s="3">
        <f>INDEX('02_品质等级'!$H$2:$H$6,MATCH(C509,'02_品质等级'!$A$2:$A$6,0))</f>
        <v/>
      </c>
      <c r="J509" s="3">
        <f>E509*F509*G509*H509</f>
        <v/>
      </c>
      <c r="K509" s="3">
        <f>E509*F509*G509*I509</f>
        <v/>
      </c>
    </row>
    <row r="510">
      <c r="A510" s="2" t="inlineStr">
        <is>
          <t>能量回复等级</t>
        </is>
      </c>
      <c r="B510" s="2" t="inlineStr">
        <is>
          <t>固定值</t>
        </is>
      </c>
      <c r="C510" s="2" t="inlineStr">
        <is>
          <t>紫</t>
        </is>
      </c>
      <c r="D510" s="2" t="n">
        <v>25</v>
      </c>
      <c r="E510" s="3">
        <f>INDEX('05_副属性基础'!$C$2:$C$11,MATCH(A510,'05_副属性基础'!$A$2:$A$11,0))</f>
        <v/>
      </c>
      <c r="F510" s="3">
        <f>INDEX('02_品质等级'!$D$2:$D$6,MATCH(C510,'02_品质等级'!$A$2:$A$6,0))</f>
        <v/>
      </c>
      <c r="G510" s="3">
        <f>INDEX('05_副属性基础'!$I$2:$I$13,MATCH(D510,'05_副属性基础'!$G$2:$G$13,0))</f>
        <v/>
      </c>
      <c r="H510" s="3">
        <f>INDEX('02_品质等级'!$G$2:$G$6,MATCH(C510,'02_品质等级'!$A$2:$A$6,0))</f>
        <v/>
      </c>
      <c r="I510" s="3">
        <f>INDEX('02_品质等级'!$H$2:$H$6,MATCH(C510,'02_品质等级'!$A$2:$A$6,0))</f>
        <v/>
      </c>
      <c r="J510" s="3">
        <f>E510*F510*G510*H510</f>
        <v/>
      </c>
      <c r="K510" s="3">
        <f>E510*F510*G510*I510</f>
        <v/>
      </c>
    </row>
    <row r="511">
      <c r="A511" s="2" t="inlineStr">
        <is>
          <t>能量回复等级</t>
        </is>
      </c>
      <c r="B511" s="2" t="inlineStr">
        <is>
          <t>固定值</t>
        </is>
      </c>
      <c r="C511" s="2" t="inlineStr">
        <is>
          <t>紫</t>
        </is>
      </c>
      <c r="D511" s="2" t="n">
        <v>30</v>
      </c>
      <c r="E511" s="3">
        <f>INDEX('05_副属性基础'!$C$2:$C$11,MATCH(A511,'05_副属性基础'!$A$2:$A$11,0))</f>
        <v/>
      </c>
      <c r="F511" s="3">
        <f>INDEX('02_品质等级'!$D$2:$D$6,MATCH(C511,'02_品质等级'!$A$2:$A$6,0))</f>
        <v/>
      </c>
      <c r="G511" s="3">
        <f>INDEX('05_副属性基础'!$I$2:$I$13,MATCH(D511,'05_副属性基础'!$G$2:$G$13,0))</f>
        <v/>
      </c>
      <c r="H511" s="3">
        <f>INDEX('02_品质等级'!$G$2:$G$6,MATCH(C511,'02_品质等级'!$A$2:$A$6,0))</f>
        <v/>
      </c>
      <c r="I511" s="3">
        <f>INDEX('02_品质等级'!$H$2:$H$6,MATCH(C511,'02_品质等级'!$A$2:$A$6,0))</f>
        <v/>
      </c>
      <c r="J511" s="3">
        <f>E511*F511*G511*H511</f>
        <v/>
      </c>
      <c r="K511" s="3">
        <f>E511*F511*G511*I511</f>
        <v/>
      </c>
    </row>
    <row r="512">
      <c r="A512" s="2" t="inlineStr">
        <is>
          <t>能量回复等级</t>
        </is>
      </c>
      <c r="B512" s="2" t="inlineStr">
        <is>
          <t>固定值</t>
        </is>
      </c>
      <c r="C512" s="2" t="inlineStr">
        <is>
          <t>紫</t>
        </is>
      </c>
      <c r="D512" s="2" t="n">
        <v>35</v>
      </c>
      <c r="E512" s="3">
        <f>INDEX('05_副属性基础'!$C$2:$C$11,MATCH(A512,'05_副属性基础'!$A$2:$A$11,0))</f>
        <v/>
      </c>
      <c r="F512" s="3">
        <f>INDEX('02_品质等级'!$D$2:$D$6,MATCH(C512,'02_品质等级'!$A$2:$A$6,0))</f>
        <v/>
      </c>
      <c r="G512" s="3">
        <f>INDEX('05_副属性基础'!$I$2:$I$13,MATCH(D512,'05_副属性基础'!$G$2:$G$13,0))</f>
        <v/>
      </c>
      <c r="H512" s="3">
        <f>INDEX('02_品质等级'!$G$2:$G$6,MATCH(C512,'02_品质等级'!$A$2:$A$6,0))</f>
        <v/>
      </c>
      <c r="I512" s="3">
        <f>INDEX('02_品质等级'!$H$2:$H$6,MATCH(C512,'02_品质等级'!$A$2:$A$6,0))</f>
        <v/>
      </c>
      <c r="J512" s="3">
        <f>E512*F512*G512*H512</f>
        <v/>
      </c>
      <c r="K512" s="3">
        <f>E512*F512*G512*I512</f>
        <v/>
      </c>
    </row>
    <row r="513">
      <c r="A513" s="2" t="inlineStr">
        <is>
          <t>能量回复等级</t>
        </is>
      </c>
      <c r="B513" s="2" t="inlineStr">
        <is>
          <t>固定值</t>
        </is>
      </c>
      <c r="C513" s="2" t="inlineStr">
        <is>
          <t>紫</t>
        </is>
      </c>
      <c r="D513" s="2" t="n">
        <v>40</v>
      </c>
      <c r="E513" s="3">
        <f>INDEX('05_副属性基础'!$C$2:$C$11,MATCH(A513,'05_副属性基础'!$A$2:$A$11,0))</f>
        <v/>
      </c>
      <c r="F513" s="3">
        <f>INDEX('02_品质等级'!$D$2:$D$6,MATCH(C513,'02_品质等级'!$A$2:$A$6,0))</f>
        <v/>
      </c>
      <c r="G513" s="3">
        <f>INDEX('05_副属性基础'!$I$2:$I$13,MATCH(D513,'05_副属性基础'!$G$2:$G$13,0))</f>
        <v/>
      </c>
      <c r="H513" s="3">
        <f>INDEX('02_品质等级'!$G$2:$G$6,MATCH(C513,'02_品质等级'!$A$2:$A$6,0))</f>
        <v/>
      </c>
      <c r="I513" s="3">
        <f>INDEX('02_品质等级'!$H$2:$H$6,MATCH(C513,'02_品质等级'!$A$2:$A$6,0))</f>
        <v/>
      </c>
      <c r="J513" s="3">
        <f>E513*F513*G513*H513</f>
        <v/>
      </c>
      <c r="K513" s="3">
        <f>E513*F513*G513*I513</f>
        <v/>
      </c>
    </row>
    <row r="514">
      <c r="A514" s="2" t="inlineStr">
        <is>
          <t>能量回复等级</t>
        </is>
      </c>
      <c r="B514" s="2" t="inlineStr">
        <is>
          <t>固定值</t>
        </is>
      </c>
      <c r="C514" s="2" t="inlineStr">
        <is>
          <t>紫</t>
        </is>
      </c>
      <c r="D514" s="2" t="n">
        <v>45</v>
      </c>
      <c r="E514" s="3">
        <f>INDEX('05_副属性基础'!$C$2:$C$11,MATCH(A514,'05_副属性基础'!$A$2:$A$11,0))</f>
        <v/>
      </c>
      <c r="F514" s="3">
        <f>INDEX('02_品质等级'!$D$2:$D$6,MATCH(C514,'02_品质等级'!$A$2:$A$6,0))</f>
        <v/>
      </c>
      <c r="G514" s="3">
        <f>INDEX('05_副属性基础'!$I$2:$I$13,MATCH(D514,'05_副属性基础'!$G$2:$G$13,0))</f>
        <v/>
      </c>
      <c r="H514" s="3">
        <f>INDEX('02_品质等级'!$G$2:$G$6,MATCH(C514,'02_品质等级'!$A$2:$A$6,0))</f>
        <v/>
      </c>
      <c r="I514" s="3">
        <f>INDEX('02_品质等级'!$H$2:$H$6,MATCH(C514,'02_品质等级'!$A$2:$A$6,0))</f>
        <v/>
      </c>
      <c r="J514" s="3">
        <f>E514*F514*G514*H514</f>
        <v/>
      </c>
      <c r="K514" s="3">
        <f>E514*F514*G514*I514</f>
        <v/>
      </c>
    </row>
    <row r="515">
      <c r="A515" s="2" t="inlineStr">
        <is>
          <t>能量回复等级</t>
        </is>
      </c>
      <c r="B515" s="2" t="inlineStr">
        <is>
          <t>固定值</t>
        </is>
      </c>
      <c r="C515" s="2" t="inlineStr">
        <is>
          <t>紫</t>
        </is>
      </c>
      <c r="D515" s="2" t="n">
        <v>50</v>
      </c>
      <c r="E515" s="3">
        <f>INDEX('05_副属性基础'!$C$2:$C$11,MATCH(A515,'05_副属性基础'!$A$2:$A$11,0))</f>
        <v/>
      </c>
      <c r="F515" s="3">
        <f>INDEX('02_品质等级'!$D$2:$D$6,MATCH(C515,'02_品质等级'!$A$2:$A$6,0))</f>
        <v/>
      </c>
      <c r="G515" s="3">
        <f>INDEX('05_副属性基础'!$I$2:$I$13,MATCH(D515,'05_副属性基础'!$G$2:$G$13,0))</f>
        <v/>
      </c>
      <c r="H515" s="3">
        <f>INDEX('02_品质等级'!$G$2:$G$6,MATCH(C515,'02_品质等级'!$A$2:$A$6,0))</f>
        <v/>
      </c>
      <c r="I515" s="3">
        <f>INDEX('02_品质等级'!$H$2:$H$6,MATCH(C515,'02_品质等级'!$A$2:$A$6,0))</f>
        <v/>
      </c>
      <c r="J515" s="3">
        <f>E515*F515*G515*H515</f>
        <v/>
      </c>
      <c r="K515" s="3">
        <f>E515*F515*G515*I515</f>
        <v/>
      </c>
    </row>
    <row r="516">
      <c r="A516" s="2" t="inlineStr">
        <is>
          <t>能量回复等级</t>
        </is>
      </c>
      <c r="B516" s="2" t="inlineStr">
        <is>
          <t>固定值</t>
        </is>
      </c>
      <c r="C516" s="2" t="inlineStr">
        <is>
          <t>紫</t>
        </is>
      </c>
      <c r="D516" s="2" t="n">
        <v>55</v>
      </c>
      <c r="E516" s="3">
        <f>INDEX('05_副属性基础'!$C$2:$C$11,MATCH(A516,'05_副属性基础'!$A$2:$A$11,0))</f>
        <v/>
      </c>
      <c r="F516" s="3">
        <f>INDEX('02_品质等级'!$D$2:$D$6,MATCH(C516,'02_品质等级'!$A$2:$A$6,0))</f>
        <v/>
      </c>
      <c r="G516" s="3">
        <f>INDEX('05_副属性基础'!$I$2:$I$13,MATCH(D516,'05_副属性基础'!$G$2:$G$13,0))</f>
        <v/>
      </c>
      <c r="H516" s="3">
        <f>INDEX('02_品质等级'!$G$2:$G$6,MATCH(C516,'02_品质等级'!$A$2:$A$6,0))</f>
        <v/>
      </c>
      <c r="I516" s="3">
        <f>INDEX('02_品质等级'!$H$2:$H$6,MATCH(C516,'02_品质等级'!$A$2:$A$6,0))</f>
        <v/>
      </c>
      <c r="J516" s="3">
        <f>E516*F516*G516*H516</f>
        <v/>
      </c>
      <c r="K516" s="3">
        <f>E516*F516*G516*I516</f>
        <v/>
      </c>
    </row>
    <row r="517">
      <c r="A517" s="2" t="inlineStr">
        <is>
          <t>能量回复等级</t>
        </is>
      </c>
      <c r="B517" s="2" t="inlineStr">
        <is>
          <t>固定值</t>
        </is>
      </c>
      <c r="C517" s="2" t="inlineStr">
        <is>
          <t>紫</t>
        </is>
      </c>
      <c r="D517" s="2" t="n">
        <v>60</v>
      </c>
      <c r="E517" s="3">
        <f>INDEX('05_副属性基础'!$C$2:$C$11,MATCH(A517,'05_副属性基础'!$A$2:$A$11,0))</f>
        <v/>
      </c>
      <c r="F517" s="3">
        <f>INDEX('02_品质等级'!$D$2:$D$6,MATCH(C517,'02_品质等级'!$A$2:$A$6,0))</f>
        <v/>
      </c>
      <c r="G517" s="3">
        <f>INDEX('05_副属性基础'!$I$2:$I$13,MATCH(D517,'05_副属性基础'!$G$2:$G$13,0))</f>
        <v/>
      </c>
      <c r="H517" s="3">
        <f>INDEX('02_品质等级'!$G$2:$G$6,MATCH(C517,'02_品质等级'!$A$2:$A$6,0))</f>
        <v/>
      </c>
      <c r="I517" s="3">
        <f>INDEX('02_品质等级'!$H$2:$H$6,MATCH(C517,'02_品质等级'!$A$2:$A$6,0))</f>
        <v/>
      </c>
      <c r="J517" s="3">
        <f>E517*F517*G517*H517</f>
        <v/>
      </c>
      <c r="K517" s="3">
        <f>E517*F517*G517*I517</f>
        <v/>
      </c>
    </row>
    <row r="518">
      <c r="A518" s="2" t="inlineStr">
        <is>
          <t>能量回复等级</t>
        </is>
      </c>
      <c r="B518" s="2" t="inlineStr">
        <is>
          <t>固定值</t>
        </is>
      </c>
      <c r="C518" s="2" t="inlineStr">
        <is>
          <t>金</t>
        </is>
      </c>
      <c r="D518" s="2" t="n">
        <v>5</v>
      </c>
      <c r="E518" s="3">
        <f>INDEX('05_副属性基础'!$C$2:$C$11,MATCH(A518,'05_副属性基础'!$A$2:$A$11,0))</f>
        <v/>
      </c>
      <c r="F518" s="3">
        <f>INDEX('02_品质等级'!$D$2:$D$6,MATCH(C518,'02_品质等级'!$A$2:$A$6,0))</f>
        <v/>
      </c>
      <c r="G518" s="3">
        <f>INDEX('05_副属性基础'!$I$2:$I$13,MATCH(D518,'05_副属性基础'!$G$2:$G$13,0))</f>
        <v/>
      </c>
      <c r="H518" s="3">
        <f>INDEX('02_品质等级'!$G$2:$G$6,MATCH(C518,'02_品质等级'!$A$2:$A$6,0))</f>
        <v/>
      </c>
      <c r="I518" s="3">
        <f>INDEX('02_品质等级'!$H$2:$H$6,MATCH(C518,'02_品质等级'!$A$2:$A$6,0))</f>
        <v/>
      </c>
      <c r="J518" s="3">
        <f>E518*F518*G518*H518</f>
        <v/>
      </c>
      <c r="K518" s="3">
        <f>E518*F518*G518*I518</f>
        <v/>
      </c>
    </row>
    <row r="519">
      <c r="A519" s="2" t="inlineStr">
        <is>
          <t>能量回复等级</t>
        </is>
      </c>
      <c r="B519" s="2" t="inlineStr">
        <is>
          <t>固定值</t>
        </is>
      </c>
      <c r="C519" s="2" t="inlineStr">
        <is>
          <t>金</t>
        </is>
      </c>
      <c r="D519" s="2" t="n">
        <v>10</v>
      </c>
      <c r="E519" s="3">
        <f>INDEX('05_副属性基础'!$C$2:$C$11,MATCH(A519,'05_副属性基础'!$A$2:$A$11,0))</f>
        <v/>
      </c>
      <c r="F519" s="3">
        <f>INDEX('02_品质等级'!$D$2:$D$6,MATCH(C519,'02_品质等级'!$A$2:$A$6,0))</f>
        <v/>
      </c>
      <c r="G519" s="3">
        <f>INDEX('05_副属性基础'!$I$2:$I$13,MATCH(D519,'05_副属性基础'!$G$2:$G$13,0))</f>
        <v/>
      </c>
      <c r="H519" s="3">
        <f>INDEX('02_品质等级'!$G$2:$G$6,MATCH(C519,'02_品质等级'!$A$2:$A$6,0))</f>
        <v/>
      </c>
      <c r="I519" s="3">
        <f>INDEX('02_品质等级'!$H$2:$H$6,MATCH(C519,'02_品质等级'!$A$2:$A$6,0))</f>
        <v/>
      </c>
      <c r="J519" s="3">
        <f>E519*F519*G519*H519</f>
        <v/>
      </c>
      <c r="K519" s="3">
        <f>E519*F519*G519*I519</f>
        <v/>
      </c>
    </row>
    <row r="520">
      <c r="A520" s="2" t="inlineStr">
        <is>
          <t>能量回复等级</t>
        </is>
      </c>
      <c r="B520" s="2" t="inlineStr">
        <is>
          <t>固定值</t>
        </is>
      </c>
      <c r="C520" s="2" t="inlineStr">
        <is>
          <t>金</t>
        </is>
      </c>
      <c r="D520" s="2" t="n">
        <v>15</v>
      </c>
      <c r="E520" s="3">
        <f>INDEX('05_副属性基础'!$C$2:$C$11,MATCH(A520,'05_副属性基础'!$A$2:$A$11,0))</f>
        <v/>
      </c>
      <c r="F520" s="3">
        <f>INDEX('02_品质等级'!$D$2:$D$6,MATCH(C520,'02_品质等级'!$A$2:$A$6,0))</f>
        <v/>
      </c>
      <c r="G520" s="3">
        <f>INDEX('05_副属性基础'!$I$2:$I$13,MATCH(D520,'05_副属性基础'!$G$2:$G$13,0))</f>
        <v/>
      </c>
      <c r="H520" s="3">
        <f>INDEX('02_品质等级'!$G$2:$G$6,MATCH(C520,'02_品质等级'!$A$2:$A$6,0))</f>
        <v/>
      </c>
      <c r="I520" s="3">
        <f>INDEX('02_品质等级'!$H$2:$H$6,MATCH(C520,'02_品质等级'!$A$2:$A$6,0))</f>
        <v/>
      </c>
      <c r="J520" s="3">
        <f>E520*F520*G520*H520</f>
        <v/>
      </c>
      <c r="K520" s="3">
        <f>E520*F520*G520*I520</f>
        <v/>
      </c>
    </row>
    <row r="521">
      <c r="A521" s="2" t="inlineStr">
        <is>
          <t>能量回复等级</t>
        </is>
      </c>
      <c r="B521" s="2" t="inlineStr">
        <is>
          <t>固定值</t>
        </is>
      </c>
      <c r="C521" s="2" t="inlineStr">
        <is>
          <t>金</t>
        </is>
      </c>
      <c r="D521" s="2" t="n">
        <v>20</v>
      </c>
      <c r="E521" s="3">
        <f>INDEX('05_副属性基础'!$C$2:$C$11,MATCH(A521,'05_副属性基础'!$A$2:$A$11,0))</f>
        <v/>
      </c>
      <c r="F521" s="3">
        <f>INDEX('02_品质等级'!$D$2:$D$6,MATCH(C521,'02_品质等级'!$A$2:$A$6,0))</f>
        <v/>
      </c>
      <c r="G521" s="3">
        <f>INDEX('05_副属性基础'!$I$2:$I$13,MATCH(D521,'05_副属性基础'!$G$2:$G$13,0))</f>
        <v/>
      </c>
      <c r="H521" s="3">
        <f>INDEX('02_品质等级'!$G$2:$G$6,MATCH(C521,'02_品质等级'!$A$2:$A$6,0))</f>
        <v/>
      </c>
      <c r="I521" s="3">
        <f>INDEX('02_品质等级'!$H$2:$H$6,MATCH(C521,'02_品质等级'!$A$2:$A$6,0))</f>
        <v/>
      </c>
      <c r="J521" s="3">
        <f>E521*F521*G521*H521</f>
        <v/>
      </c>
      <c r="K521" s="3">
        <f>E521*F521*G521*I521</f>
        <v/>
      </c>
    </row>
    <row r="522">
      <c r="A522" s="2" t="inlineStr">
        <is>
          <t>能量回复等级</t>
        </is>
      </c>
      <c r="B522" s="2" t="inlineStr">
        <is>
          <t>固定值</t>
        </is>
      </c>
      <c r="C522" s="2" t="inlineStr">
        <is>
          <t>金</t>
        </is>
      </c>
      <c r="D522" s="2" t="n">
        <v>25</v>
      </c>
      <c r="E522" s="3">
        <f>INDEX('05_副属性基础'!$C$2:$C$11,MATCH(A522,'05_副属性基础'!$A$2:$A$11,0))</f>
        <v/>
      </c>
      <c r="F522" s="3">
        <f>INDEX('02_品质等级'!$D$2:$D$6,MATCH(C522,'02_品质等级'!$A$2:$A$6,0))</f>
        <v/>
      </c>
      <c r="G522" s="3">
        <f>INDEX('05_副属性基础'!$I$2:$I$13,MATCH(D522,'05_副属性基础'!$G$2:$G$13,0))</f>
        <v/>
      </c>
      <c r="H522" s="3">
        <f>INDEX('02_品质等级'!$G$2:$G$6,MATCH(C522,'02_品质等级'!$A$2:$A$6,0))</f>
        <v/>
      </c>
      <c r="I522" s="3">
        <f>INDEX('02_品质等级'!$H$2:$H$6,MATCH(C522,'02_品质等级'!$A$2:$A$6,0))</f>
        <v/>
      </c>
      <c r="J522" s="3">
        <f>E522*F522*G522*H522</f>
        <v/>
      </c>
      <c r="K522" s="3">
        <f>E522*F522*G522*I522</f>
        <v/>
      </c>
    </row>
    <row r="523">
      <c r="A523" s="2" t="inlineStr">
        <is>
          <t>能量回复等级</t>
        </is>
      </c>
      <c r="B523" s="2" t="inlineStr">
        <is>
          <t>固定值</t>
        </is>
      </c>
      <c r="C523" s="2" t="inlineStr">
        <is>
          <t>金</t>
        </is>
      </c>
      <c r="D523" s="2" t="n">
        <v>30</v>
      </c>
      <c r="E523" s="3">
        <f>INDEX('05_副属性基础'!$C$2:$C$11,MATCH(A523,'05_副属性基础'!$A$2:$A$11,0))</f>
        <v/>
      </c>
      <c r="F523" s="3">
        <f>INDEX('02_品质等级'!$D$2:$D$6,MATCH(C523,'02_品质等级'!$A$2:$A$6,0))</f>
        <v/>
      </c>
      <c r="G523" s="3">
        <f>INDEX('05_副属性基础'!$I$2:$I$13,MATCH(D523,'05_副属性基础'!$G$2:$G$13,0))</f>
        <v/>
      </c>
      <c r="H523" s="3">
        <f>INDEX('02_品质等级'!$G$2:$G$6,MATCH(C523,'02_品质等级'!$A$2:$A$6,0))</f>
        <v/>
      </c>
      <c r="I523" s="3">
        <f>INDEX('02_品质等级'!$H$2:$H$6,MATCH(C523,'02_品质等级'!$A$2:$A$6,0))</f>
        <v/>
      </c>
      <c r="J523" s="3">
        <f>E523*F523*G523*H523</f>
        <v/>
      </c>
      <c r="K523" s="3">
        <f>E523*F523*G523*I523</f>
        <v/>
      </c>
    </row>
    <row r="524">
      <c r="A524" s="2" t="inlineStr">
        <is>
          <t>能量回复等级</t>
        </is>
      </c>
      <c r="B524" s="2" t="inlineStr">
        <is>
          <t>固定值</t>
        </is>
      </c>
      <c r="C524" s="2" t="inlineStr">
        <is>
          <t>金</t>
        </is>
      </c>
      <c r="D524" s="2" t="n">
        <v>35</v>
      </c>
      <c r="E524" s="3">
        <f>INDEX('05_副属性基础'!$C$2:$C$11,MATCH(A524,'05_副属性基础'!$A$2:$A$11,0))</f>
        <v/>
      </c>
      <c r="F524" s="3">
        <f>INDEX('02_品质等级'!$D$2:$D$6,MATCH(C524,'02_品质等级'!$A$2:$A$6,0))</f>
        <v/>
      </c>
      <c r="G524" s="3">
        <f>INDEX('05_副属性基础'!$I$2:$I$13,MATCH(D524,'05_副属性基础'!$G$2:$G$13,0))</f>
        <v/>
      </c>
      <c r="H524" s="3">
        <f>INDEX('02_品质等级'!$G$2:$G$6,MATCH(C524,'02_品质等级'!$A$2:$A$6,0))</f>
        <v/>
      </c>
      <c r="I524" s="3">
        <f>INDEX('02_品质等级'!$H$2:$H$6,MATCH(C524,'02_品质等级'!$A$2:$A$6,0))</f>
        <v/>
      </c>
      <c r="J524" s="3">
        <f>E524*F524*G524*H524</f>
        <v/>
      </c>
      <c r="K524" s="3">
        <f>E524*F524*G524*I524</f>
        <v/>
      </c>
    </row>
    <row r="525">
      <c r="A525" s="2" t="inlineStr">
        <is>
          <t>能量回复等级</t>
        </is>
      </c>
      <c r="B525" s="2" t="inlineStr">
        <is>
          <t>固定值</t>
        </is>
      </c>
      <c r="C525" s="2" t="inlineStr">
        <is>
          <t>金</t>
        </is>
      </c>
      <c r="D525" s="2" t="n">
        <v>40</v>
      </c>
      <c r="E525" s="3">
        <f>INDEX('05_副属性基础'!$C$2:$C$11,MATCH(A525,'05_副属性基础'!$A$2:$A$11,0))</f>
        <v/>
      </c>
      <c r="F525" s="3">
        <f>INDEX('02_品质等级'!$D$2:$D$6,MATCH(C525,'02_品质等级'!$A$2:$A$6,0))</f>
        <v/>
      </c>
      <c r="G525" s="3">
        <f>INDEX('05_副属性基础'!$I$2:$I$13,MATCH(D525,'05_副属性基础'!$G$2:$G$13,0))</f>
        <v/>
      </c>
      <c r="H525" s="3">
        <f>INDEX('02_品质等级'!$G$2:$G$6,MATCH(C525,'02_品质等级'!$A$2:$A$6,0))</f>
        <v/>
      </c>
      <c r="I525" s="3">
        <f>INDEX('02_品质等级'!$H$2:$H$6,MATCH(C525,'02_品质等级'!$A$2:$A$6,0))</f>
        <v/>
      </c>
      <c r="J525" s="3">
        <f>E525*F525*G525*H525</f>
        <v/>
      </c>
      <c r="K525" s="3">
        <f>E525*F525*G525*I525</f>
        <v/>
      </c>
    </row>
    <row r="526">
      <c r="A526" s="2" t="inlineStr">
        <is>
          <t>能量回复等级</t>
        </is>
      </c>
      <c r="B526" s="2" t="inlineStr">
        <is>
          <t>固定值</t>
        </is>
      </c>
      <c r="C526" s="2" t="inlineStr">
        <is>
          <t>金</t>
        </is>
      </c>
      <c r="D526" s="2" t="n">
        <v>45</v>
      </c>
      <c r="E526" s="3">
        <f>INDEX('05_副属性基础'!$C$2:$C$11,MATCH(A526,'05_副属性基础'!$A$2:$A$11,0))</f>
        <v/>
      </c>
      <c r="F526" s="3">
        <f>INDEX('02_品质等级'!$D$2:$D$6,MATCH(C526,'02_品质等级'!$A$2:$A$6,0))</f>
        <v/>
      </c>
      <c r="G526" s="3">
        <f>INDEX('05_副属性基础'!$I$2:$I$13,MATCH(D526,'05_副属性基础'!$G$2:$G$13,0))</f>
        <v/>
      </c>
      <c r="H526" s="3">
        <f>INDEX('02_品质等级'!$G$2:$G$6,MATCH(C526,'02_品质等级'!$A$2:$A$6,0))</f>
        <v/>
      </c>
      <c r="I526" s="3">
        <f>INDEX('02_品质等级'!$H$2:$H$6,MATCH(C526,'02_品质等级'!$A$2:$A$6,0))</f>
        <v/>
      </c>
      <c r="J526" s="3">
        <f>E526*F526*G526*H526</f>
        <v/>
      </c>
      <c r="K526" s="3">
        <f>E526*F526*G526*I526</f>
        <v/>
      </c>
    </row>
    <row r="527">
      <c r="A527" s="2" t="inlineStr">
        <is>
          <t>能量回复等级</t>
        </is>
      </c>
      <c r="B527" s="2" t="inlineStr">
        <is>
          <t>固定值</t>
        </is>
      </c>
      <c r="C527" s="2" t="inlineStr">
        <is>
          <t>金</t>
        </is>
      </c>
      <c r="D527" s="2" t="n">
        <v>50</v>
      </c>
      <c r="E527" s="3">
        <f>INDEX('05_副属性基础'!$C$2:$C$11,MATCH(A527,'05_副属性基础'!$A$2:$A$11,0))</f>
        <v/>
      </c>
      <c r="F527" s="3">
        <f>INDEX('02_品质等级'!$D$2:$D$6,MATCH(C527,'02_品质等级'!$A$2:$A$6,0))</f>
        <v/>
      </c>
      <c r="G527" s="3">
        <f>INDEX('05_副属性基础'!$I$2:$I$13,MATCH(D527,'05_副属性基础'!$G$2:$G$13,0))</f>
        <v/>
      </c>
      <c r="H527" s="3">
        <f>INDEX('02_品质等级'!$G$2:$G$6,MATCH(C527,'02_品质等级'!$A$2:$A$6,0))</f>
        <v/>
      </c>
      <c r="I527" s="3">
        <f>INDEX('02_品质等级'!$H$2:$H$6,MATCH(C527,'02_品质等级'!$A$2:$A$6,0))</f>
        <v/>
      </c>
      <c r="J527" s="3">
        <f>E527*F527*G527*H527</f>
        <v/>
      </c>
      <c r="K527" s="3">
        <f>E527*F527*G527*I527</f>
        <v/>
      </c>
    </row>
    <row r="528">
      <c r="A528" s="2" t="inlineStr">
        <is>
          <t>能量回复等级</t>
        </is>
      </c>
      <c r="B528" s="2" t="inlineStr">
        <is>
          <t>固定值</t>
        </is>
      </c>
      <c r="C528" s="2" t="inlineStr">
        <is>
          <t>金</t>
        </is>
      </c>
      <c r="D528" s="2" t="n">
        <v>55</v>
      </c>
      <c r="E528" s="3">
        <f>INDEX('05_副属性基础'!$C$2:$C$11,MATCH(A528,'05_副属性基础'!$A$2:$A$11,0))</f>
        <v/>
      </c>
      <c r="F528" s="3">
        <f>INDEX('02_品质等级'!$D$2:$D$6,MATCH(C528,'02_品质等级'!$A$2:$A$6,0))</f>
        <v/>
      </c>
      <c r="G528" s="3">
        <f>INDEX('05_副属性基础'!$I$2:$I$13,MATCH(D528,'05_副属性基础'!$G$2:$G$13,0))</f>
        <v/>
      </c>
      <c r="H528" s="3">
        <f>INDEX('02_品质等级'!$G$2:$G$6,MATCH(C528,'02_品质等级'!$A$2:$A$6,0))</f>
        <v/>
      </c>
      <c r="I528" s="3">
        <f>INDEX('02_品质等级'!$H$2:$H$6,MATCH(C528,'02_品质等级'!$A$2:$A$6,0))</f>
        <v/>
      </c>
      <c r="J528" s="3">
        <f>E528*F528*G528*H528</f>
        <v/>
      </c>
      <c r="K528" s="3">
        <f>E528*F528*G528*I528</f>
        <v/>
      </c>
    </row>
    <row r="529">
      <c r="A529" s="2" t="inlineStr">
        <is>
          <t>能量回复等级</t>
        </is>
      </c>
      <c r="B529" s="2" t="inlineStr">
        <is>
          <t>固定值</t>
        </is>
      </c>
      <c r="C529" s="2" t="inlineStr">
        <is>
          <t>金</t>
        </is>
      </c>
      <c r="D529" s="2" t="n">
        <v>60</v>
      </c>
      <c r="E529" s="3">
        <f>INDEX('05_副属性基础'!$C$2:$C$11,MATCH(A529,'05_副属性基础'!$A$2:$A$11,0))</f>
        <v/>
      </c>
      <c r="F529" s="3">
        <f>INDEX('02_品质等级'!$D$2:$D$6,MATCH(C529,'02_品质等级'!$A$2:$A$6,0))</f>
        <v/>
      </c>
      <c r="G529" s="3">
        <f>INDEX('05_副属性基础'!$I$2:$I$13,MATCH(D529,'05_副属性基础'!$G$2:$G$13,0))</f>
        <v/>
      </c>
      <c r="H529" s="3">
        <f>INDEX('02_品质等级'!$G$2:$G$6,MATCH(C529,'02_品质等级'!$A$2:$A$6,0))</f>
        <v/>
      </c>
      <c r="I529" s="3">
        <f>INDEX('02_品质等级'!$H$2:$H$6,MATCH(C529,'02_品质等级'!$A$2:$A$6,0))</f>
        <v/>
      </c>
      <c r="J529" s="3">
        <f>E529*F529*G529*H529</f>
        <v/>
      </c>
      <c r="K529" s="3">
        <f>E529*F529*G529*I529</f>
        <v/>
      </c>
    </row>
    <row r="530">
      <c r="A530" s="2" t="inlineStr">
        <is>
          <t>能量回复等级</t>
        </is>
      </c>
      <c r="B530" s="2" t="inlineStr">
        <is>
          <t>固定值</t>
        </is>
      </c>
      <c r="C530" s="2" t="inlineStr">
        <is>
          <t>红</t>
        </is>
      </c>
      <c r="D530" s="2" t="n">
        <v>5</v>
      </c>
      <c r="E530" s="3">
        <f>INDEX('05_副属性基础'!$C$2:$C$11,MATCH(A530,'05_副属性基础'!$A$2:$A$11,0))</f>
        <v/>
      </c>
      <c r="F530" s="3">
        <f>INDEX('02_品质等级'!$D$2:$D$6,MATCH(C530,'02_品质等级'!$A$2:$A$6,0))</f>
        <v/>
      </c>
      <c r="G530" s="3">
        <f>INDEX('05_副属性基础'!$I$2:$I$13,MATCH(D530,'05_副属性基础'!$G$2:$G$13,0))</f>
        <v/>
      </c>
      <c r="H530" s="3">
        <f>INDEX('02_品质等级'!$G$2:$G$6,MATCH(C530,'02_品质等级'!$A$2:$A$6,0))</f>
        <v/>
      </c>
      <c r="I530" s="3">
        <f>INDEX('02_品质等级'!$H$2:$H$6,MATCH(C530,'02_品质等级'!$A$2:$A$6,0))</f>
        <v/>
      </c>
      <c r="J530" s="3">
        <f>E530*F530*G530*H530</f>
        <v/>
      </c>
      <c r="K530" s="3">
        <f>E530*F530*G530*I530</f>
        <v/>
      </c>
    </row>
    <row r="531">
      <c r="A531" s="2" t="inlineStr">
        <is>
          <t>能量回复等级</t>
        </is>
      </c>
      <c r="B531" s="2" t="inlineStr">
        <is>
          <t>固定值</t>
        </is>
      </c>
      <c r="C531" s="2" t="inlineStr">
        <is>
          <t>红</t>
        </is>
      </c>
      <c r="D531" s="2" t="n">
        <v>10</v>
      </c>
      <c r="E531" s="3">
        <f>INDEX('05_副属性基础'!$C$2:$C$11,MATCH(A531,'05_副属性基础'!$A$2:$A$11,0))</f>
        <v/>
      </c>
      <c r="F531" s="3">
        <f>INDEX('02_品质等级'!$D$2:$D$6,MATCH(C531,'02_品质等级'!$A$2:$A$6,0))</f>
        <v/>
      </c>
      <c r="G531" s="3">
        <f>INDEX('05_副属性基础'!$I$2:$I$13,MATCH(D531,'05_副属性基础'!$G$2:$G$13,0))</f>
        <v/>
      </c>
      <c r="H531" s="3">
        <f>INDEX('02_品质等级'!$G$2:$G$6,MATCH(C531,'02_品质等级'!$A$2:$A$6,0))</f>
        <v/>
      </c>
      <c r="I531" s="3">
        <f>INDEX('02_品质等级'!$H$2:$H$6,MATCH(C531,'02_品质等级'!$A$2:$A$6,0))</f>
        <v/>
      </c>
      <c r="J531" s="3">
        <f>E531*F531*G531*H531</f>
        <v/>
      </c>
      <c r="K531" s="3">
        <f>E531*F531*G531*I531</f>
        <v/>
      </c>
    </row>
    <row r="532">
      <c r="A532" s="2" t="inlineStr">
        <is>
          <t>能量回复等级</t>
        </is>
      </c>
      <c r="B532" s="2" t="inlineStr">
        <is>
          <t>固定值</t>
        </is>
      </c>
      <c r="C532" s="2" t="inlineStr">
        <is>
          <t>红</t>
        </is>
      </c>
      <c r="D532" s="2" t="n">
        <v>15</v>
      </c>
      <c r="E532" s="3">
        <f>INDEX('05_副属性基础'!$C$2:$C$11,MATCH(A532,'05_副属性基础'!$A$2:$A$11,0))</f>
        <v/>
      </c>
      <c r="F532" s="3">
        <f>INDEX('02_品质等级'!$D$2:$D$6,MATCH(C532,'02_品质等级'!$A$2:$A$6,0))</f>
        <v/>
      </c>
      <c r="G532" s="3">
        <f>INDEX('05_副属性基础'!$I$2:$I$13,MATCH(D532,'05_副属性基础'!$G$2:$G$13,0))</f>
        <v/>
      </c>
      <c r="H532" s="3">
        <f>INDEX('02_品质等级'!$G$2:$G$6,MATCH(C532,'02_品质等级'!$A$2:$A$6,0))</f>
        <v/>
      </c>
      <c r="I532" s="3">
        <f>INDEX('02_品质等级'!$H$2:$H$6,MATCH(C532,'02_品质等级'!$A$2:$A$6,0))</f>
        <v/>
      </c>
      <c r="J532" s="3">
        <f>E532*F532*G532*H532</f>
        <v/>
      </c>
      <c r="K532" s="3">
        <f>E532*F532*G532*I532</f>
        <v/>
      </c>
    </row>
    <row r="533">
      <c r="A533" s="2" t="inlineStr">
        <is>
          <t>能量回复等级</t>
        </is>
      </c>
      <c r="B533" s="2" t="inlineStr">
        <is>
          <t>固定值</t>
        </is>
      </c>
      <c r="C533" s="2" t="inlineStr">
        <is>
          <t>红</t>
        </is>
      </c>
      <c r="D533" s="2" t="n">
        <v>20</v>
      </c>
      <c r="E533" s="3">
        <f>INDEX('05_副属性基础'!$C$2:$C$11,MATCH(A533,'05_副属性基础'!$A$2:$A$11,0))</f>
        <v/>
      </c>
      <c r="F533" s="3">
        <f>INDEX('02_品质等级'!$D$2:$D$6,MATCH(C533,'02_品质等级'!$A$2:$A$6,0))</f>
        <v/>
      </c>
      <c r="G533" s="3">
        <f>INDEX('05_副属性基础'!$I$2:$I$13,MATCH(D533,'05_副属性基础'!$G$2:$G$13,0))</f>
        <v/>
      </c>
      <c r="H533" s="3">
        <f>INDEX('02_品质等级'!$G$2:$G$6,MATCH(C533,'02_品质等级'!$A$2:$A$6,0))</f>
        <v/>
      </c>
      <c r="I533" s="3">
        <f>INDEX('02_品质等级'!$H$2:$H$6,MATCH(C533,'02_品质等级'!$A$2:$A$6,0))</f>
        <v/>
      </c>
      <c r="J533" s="3">
        <f>E533*F533*G533*H533</f>
        <v/>
      </c>
      <c r="K533" s="3">
        <f>E533*F533*G533*I533</f>
        <v/>
      </c>
    </row>
    <row r="534">
      <c r="A534" s="2" t="inlineStr">
        <is>
          <t>能量回复等级</t>
        </is>
      </c>
      <c r="B534" s="2" t="inlineStr">
        <is>
          <t>固定值</t>
        </is>
      </c>
      <c r="C534" s="2" t="inlineStr">
        <is>
          <t>红</t>
        </is>
      </c>
      <c r="D534" s="2" t="n">
        <v>25</v>
      </c>
      <c r="E534" s="3">
        <f>INDEX('05_副属性基础'!$C$2:$C$11,MATCH(A534,'05_副属性基础'!$A$2:$A$11,0))</f>
        <v/>
      </c>
      <c r="F534" s="3">
        <f>INDEX('02_品质等级'!$D$2:$D$6,MATCH(C534,'02_品质等级'!$A$2:$A$6,0))</f>
        <v/>
      </c>
      <c r="G534" s="3">
        <f>INDEX('05_副属性基础'!$I$2:$I$13,MATCH(D534,'05_副属性基础'!$G$2:$G$13,0))</f>
        <v/>
      </c>
      <c r="H534" s="3">
        <f>INDEX('02_品质等级'!$G$2:$G$6,MATCH(C534,'02_品质等级'!$A$2:$A$6,0))</f>
        <v/>
      </c>
      <c r="I534" s="3">
        <f>INDEX('02_品质等级'!$H$2:$H$6,MATCH(C534,'02_品质等级'!$A$2:$A$6,0))</f>
        <v/>
      </c>
      <c r="J534" s="3">
        <f>E534*F534*G534*H534</f>
        <v/>
      </c>
      <c r="K534" s="3">
        <f>E534*F534*G534*I534</f>
        <v/>
      </c>
    </row>
    <row r="535">
      <c r="A535" s="2" t="inlineStr">
        <is>
          <t>能量回复等级</t>
        </is>
      </c>
      <c r="B535" s="2" t="inlineStr">
        <is>
          <t>固定值</t>
        </is>
      </c>
      <c r="C535" s="2" t="inlineStr">
        <is>
          <t>红</t>
        </is>
      </c>
      <c r="D535" s="2" t="n">
        <v>30</v>
      </c>
      <c r="E535" s="3">
        <f>INDEX('05_副属性基础'!$C$2:$C$11,MATCH(A535,'05_副属性基础'!$A$2:$A$11,0))</f>
        <v/>
      </c>
      <c r="F535" s="3">
        <f>INDEX('02_品质等级'!$D$2:$D$6,MATCH(C535,'02_品质等级'!$A$2:$A$6,0))</f>
        <v/>
      </c>
      <c r="G535" s="3">
        <f>INDEX('05_副属性基础'!$I$2:$I$13,MATCH(D535,'05_副属性基础'!$G$2:$G$13,0))</f>
        <v/>
      </c>
      <c r="H535" s="3">
        <f>INDEX('02_品质等级'!$G$2:$G$6,MATCH(C535,'02_品质等级'!$A$2:$A$6,0))</f>
        <v/>
      </c>
      <c r="I535" s="3">
        <f>INDEX('02_品质等级'!$H$2:$H$6,MATCH(C535,'02_品质等级'!$A$2:$A$6,0))</f>
        <v/>
      </c>
      <c r="J535" s="3">
        <f>E535*F535*G535*H535</f>
        <v/>
      </c>
      <c r="K535" s="3">
        <f>E535*F535*G535*I535</f>
        <v/>
      </c>
    </row>
    <row r="536">
      <c r="A536" s="2" t="inlineStr">
        <is>
          <t>能量回复等级</t>
        </is>
      </c>
      <c r="B536" s="2" t="inlineStr">
        <is>
          <t>固定值</t>
        </is>
      </c>
      <c r="C536" s="2" t="inlineStr">
        <is>
          <t>红</t>
        </is>
      </c>
      <c r="D536" s="2" t="n">
        <v>35</v>
      </c>
      <c r="E536" s="3">
        <f>INDEX('05_副属性基础'!$C$2:$C$11,MATCH(A536,'05_副属性基础'!$A$2:$A$11,0))</f>
        <v/>
      </c>
      <c r="F536" s="3">
        <f>INDEX('02_品质等级'!$D$2:$D$6,MATCH(C536,'02_品质等级'!$A$2:$A$6,0))</f>
        <v/>
      </c>
      <c r="G536" s="3">
        <f>INDEX('05_副属性基础'!$I$2:$I$13,MATCH(D536,'05_副属性基础'!$G$2:$G$13,0))</f>
        <v/>
      </c>
      <c r="H536" s="3">
        <f>INDEX('02_品质等级'!$G$2:$G$6,MATCH(C536,'02_品质等级'!$A$2:$A$6,0))</f>
        <v/>
      </c>
      <c r="I536" s="3">
        <f>INDEX('02_品质等级'!$H$2:$H$6,MATCH(C536,'02_品质等级'!$A$2:$A$6,0))</f>
        <v/>
      </c>
      <c r="J536" s="3">
        <f>E536*F536*G536*H536</f>
        <v/>
      </c>
      <c r="K536" s="3">
        <f>E536*F536*G536*I536</f>
        <v/>
      </c>
    </row>
    <row r="537">
      <c r="A537" s="2" t="inlineStr">
        <is>
          <t>能量回复等级</t>
        </is>
      </c>
      <c r="B537" s="2" t="inlineStr">
        <is>
          <t>固定值</t>
        </is>
      </c>
      <c r="C537" s="2" t="inlineStr">
        <is>
          <t>红</t>
        </is>
      </c>
      <c r="D537" s="2" t="n">
        <v>40</v>
      </c>
      <c r="E537" s="3">
        <f>INDEX('05_副属性基础'!$C$2:$C$11,MATCH(A537,'05_副属性基础'!$A$2:$A$11,0))</f>
        <v/>
      </c>
      <c r="F537" s="3">
        <f>INDEX('02_品质等级'!$D$2:$D$6,MATCH(C537,'02_品质等级'!$A$2:$A$6,0))</f>
        <v/>
      </c>
      <c r="G537" s="3">
        <f>INDEX('05_副属性基础'!$I$2:$I$13,MATCH(D537,'05_副属性基础'!$G$2:$G$13,0))</f>
        <v/>
      </c>
      <c r="H537" s="3">
        <f>INDEX('02_品质等级'!$G$2:$G$6,MATCH(C537,'02_品质等级'!$A$2:$A$6,0))</f>
        <v/>
      </c>
      <c r="I537" s="3">
        <f>INDEX('02_品质等级'!$H$2:$H$6,MATCH(C537,'02_品质等级'!$A$2:$A$6,0))</f>
        <v/>
      </c>
      <c r="J537" s="3">
        <f>E537*F537*G537*H537</f>
        <v/>
      </c>
      <c r="K537" s="3">
        <f>E537*F537*G537*I537</f>
        <v/>
      </c>
    </row>
    <row r="538">
      <c r="A538" s="2" t="inlineStr">
        <is>
          <t>能量回复等级</t>
        </is>
      </c>
      <c r="B538" s="2" t="inlineStr">
        <is>
          <t>固定值</t>
        </is>
      </c>
      <c r="C538" s="2" t="inlineStr">
        <is>
          <t>红</t>
        </is>
      </c>
      <c r="D538" s="2" t="n">
        <v>45</v>
      </c>
      <c r="E538" s="3">
        <f>INDEX('05_副属性基础'!$C$2:$C$11,MATCH(A538,'05_副属性基础'!$A$2:$A$11,0))</f>
        <v/>
      </c>
      <c r="F538" s="3">
        <f>INDEX('02_品质等级'!$D$2:$D$6,MATCH(C538,'02_品质等级'!$A$2:$A$6,0))</f>
        <v/>
      </c>
      <c r="G538" s="3">
        <f>INDEX('05_副属性基础'!$I$2:$I$13,MATCH(D538,'05_副属性基础'!$G$2:$G$13,0))</f>
        <v/>
      </c>
      <c r="H538" s="3">
        <f>INDEX('02_品质等级'!$G$2:$G$6,MATCH(C538,'02_品质等级'!$A$2:$A$6,0))</f>
        <v/>
      </c>
      <c r="I538" s="3">
        <f>INDEX('02_品质等级'!$H$2:$H$6,MATCH(C538,'02_品质等级'!$A$2:$A$6,0))</f>
        <v/>
      </c>
      <c r="J538" s="3">
        <f>E538*F538*G538*H538</f>
        <v/>
      </c>
      <c r="K538" s="3">
        <f>E538*F538*G538*I538</f>
        <v/>
      </c>
    </row>
    <row r="539">
      <c r="A539" s="2" t="inlineStr">
        <is>
          <t>能量回复等级</t>
        </is>
      </c>
      <c r="B539" s="2" t="inlineStr">
        <is>
          <t>固定值</t>
        </is>
      </c>
      <c r="C539" s="2" t="inlineStr">
        <is>
          <t>红</t>
        </is>
      </c>
      <c r="D539" s="2" t="n">
        <v>50</v>
      </c>
      <c r="E539" s="3">
        <f>INDEX('05_副属性基础'!$C$2:$C$11,MATCH(A539,'05_副属性基础'!$A$2:$A$11,0))</f>
        <v/>
      </c>
      <c r="F539" s="3">
        <f>INDEX('02_品质等级'!$D$2:$D$6,MATCH(C539,'02_品质等级'!$A$2:$A$6,0))</f>
        <v/>
      </c>
      <c r="G539" s="3">
        <f>INDEX('05_副属性基础'!$I$2:$I$13,MATCH(D539,'05_副属性基础'!$G$2:$G$13,0))</f>
        <v/>
      </c>
      <c r="H539" s="3">
        <f>INDEX('02_品质等级'!$G$2:$G$6,MATCH(C539,'02_品质等级'!$A$2:$A$6,0))</f>
        <v/>
      </c>
      <c r="I539" s="3">
        <f>INDEX('02_品质等级'!$H$2:$H$6,MATCH(C539,'02_品质等级'!$A$2:$A$6,0))</f>
        <v/>
      </c>
      <c r="J539" s="3">
        <f>E539*F539*G539*H539</f>
        <v/>
      </c>
      <c r="K539" s="3">
        <f>E539*F539*G539*I539</f>
        <v/>
      </c>
    </row>
    <row r="540">
      <c r="A540" s="2" t="inlineStr">
        <is>
          <t>能量回复等级</t>
        </is>
      </c>
      <c r="B540" s="2" t="inlineStr">
        <is>
          <t>固定值</t>
        </is>
      </c>
      <c r="C540" s="2" t="inlineStr">
        <is>
          <t>红</t>
        </is>
      </c>
      <c r="D540" s="2" t="n">
        <v>55</v>
      </c>
      <c r="E540" s="3">
        <f>INDEX('05_副属性基础'!$C$2:$C$11,MATCH(A540,'05_副属性基础'!$A$2:$A$11,0))</f>
        <v/>
      </c>
      <c r="F540" s="3">
        <f>INDEX('02_品质等级'!$D$2:$D$6,MATCH(C540,'02_品质等级'!$A$2:$A$6,0))</f>
        <v/>
      </c>
      <c r="G540" s="3">
        <f>INDEX('05_副属性基础'!$I$2:$I$13,MATCH(D540,'05_副属性基础'!$G$2:$G$13,0))</f>
        <v/>
      </c>
      <c r="H540" s="3">
        <f>INDEX('02_品质等级'!$G$2:$G$6,MATCH(C540,'02_品质等级'!$A$2:$A$6,0))</f>
        <v/>
      </c>
      <c r="I540" s="3">
        <f>INDEX('02_品质等级'!$H$2:$H$6,MATCH(C540,'02_品质等级'!$A$2:$A$6,0))</f>
        <v/>
      </c>
      <c r="J540" s="3">
        <f>E540*F540*G540*H540</f>
        <v/>
      </c>
      <c r="K540" s="3">
        <f>E540*F540*G540*I540</f>
        <v/>
      </c>
    </row>
    <row r="541">
      <c r="A541" s="2" t="inlineStr">
        <is>
          <t>能量回复等级</t>
        </is>
      </c>
      <c r="B541" s="2" t="inlineStr">
        <is>
          <t>固定值</t>
        </is>
      </c>
      <c r="C541" s="2" t="inlineStr">
        <is>
          <t>红</t>
        </is>
      </c>
      <c r="D541" s="2" t="n">
        <v>60</v>
      </c>
      <c r="E541" s="3">
        <f>INDEX('05_副属性基础'!$C$2:$C$11,MATCH(A541,'05_副属性基础'!$A$2:$A$11,0))</f>
        <v/>
      </c>
      <c r="F541" s="3">
        <f>INDEX('02_品质等级'!$D$2:$D$6,MATCH(C541,'02_品质等级'!$A$2:$A$6,0))</f>
        <v/>
      </c>
      <c r="G541" s="3">
        <f>INDEX('05_副属性基础'!$I$2:$I$13,MATCH(D541,'05_副属性基础'!$G$2:$G$13,0))</f>
        <v/>
      </c>
      <c r="H541" s="3">
        <f>INDEX('02_品质等级'!$G$2:$G$6,MATCH(C541,'02_品质等级'!$A$2:$A$6,0))</f>
        <v/>
      </c>
      <c r="I541" s="3">
        <f>INDEX('02_品质等级'!$H$2:$H$6,MATCH(C541,'02_品质等级'!$A$2:$A$6,0))</f>
        <v/>
      </c>
      <c r="J541" s="3">
        <f>E541*F541*G541*H541</f>
        <v/>
      </c>
      <c r="K541" s="3">
        <f>E541*F541*G541*I541</f>
        <v/>
      </c>
    </row>
    <row r="542">
      <c r="A542" s="2" t="inlineStr">
        <is>
          <t>技能冷却等级</t>
        </is>
      </c>
      <c r="B542" s="2" t="inlineStr">
        <is>
          <t>固定值</t>
        </is>
      </c>
      <c r="C542" s="2" t="inlineStr">
        <is>
          <t>绿</t>
        </is>
      </c>
      <c r="D542" s="2" t="n">
        <v>5</v>
      </c>
      <c r="E542" s="3">
        <f>INDEX('05_副属性基础'!$C$2:$C$11,MATCH(A542,'05_副属性基础'!$A$2:$A$11,0))</f>
        <v/>
      </c>
      <c r="F542" s="3">
        <f>INDEX('02_品质等级'!$D$2:$D$6,MATCH(C542,'02_品质等级'!$A$2:$A$6,0))</f>
        <v/>
      </c>
      <c r="G542" s="3">
        <f>INDEX('05_副属性基础'!$I$2:$I$13,MATCH(D542,'05_副属性基础'!$G$2:$G$13,0))</f>
        <v/>
      </c>
      <c r="H542" s="3">
        <f>INDEX('02_品质等级'!$G$2:$G$6,MATCH(C542,'02_品质等级'!$A$2:$A$6,0))</f>
        <v/>
      </c>
      <c r="I542" s="3">
        <f>INDEX('02_品质等级'!$H$2:$H$6,MATCH(C542,'02_品质等级'!$A$2:$A$6,0))</f>
        <v/>
      </c>
      <c r="J542" s="3">
        <f>E542*F542*G542*H542</f>
        <v/>
      </c>
      <c r="K542" s="3">
        <f>E542*F542*G542*I542</f>
        <v/>
      </c>
    </row>
    <row r="543">
      <c r="A543" s="2" t="inlineStr">
        <is>
          <t>技能冷却等级</t>
        </is>
      </c>
      <c r="B543" s="2" t="inlineStr">
        <is>
          <t>固定值</t>
        </is>
      </c>
      <c r="C543" s="2" t="inlineStr">
        <is>
          <t>绿</t>
        </is>
      </c>
      <c r="D543" s="2" t="n">
        <v>10</v>
      </c>
      <c r="E543" s="3">
        <f>INDEX('05_副属性基础'!$C$2:$C$11,MATCH(A543,'05_副属性基础'!$A$2:$A$11,0))</f>
        <v/>
      </c>
      <c r="F543" s="3">
        <f>INDEX('02_品质等级'!$D$2:$D$6,MATCH(C543,'02_品质等级'!$A$2:$A$6,0))</f>
        <v/>
      </c>
      <c r="G543" s="3">
        <f>INDEX('05_副属性基础'!$I$2:$I$13,MATCH(D543,'05_副属性基础'!$G$2:$G$13,0))</f>
        <v/>
      </c>
      <c r="H543" s="3">
        <f>INDEX('02_品质等级'!$G$2:$G$6,MATCH(C543,'02_品质等级'!$A$2:$A$6,0))</f>
        <v/>
      </c>
      <c r="I543" s="3">
        <f>INDEX('02_品质等级'!$H$2:$H$6,MATCH(C543,'02_品质等级'!$A$2:$A$6,0))</f>
        <v/>
      </c>
      <c r="J543" s="3">
        <f>E543*F543*G543*H543</f>
        <v/>
      </c>
      <c r="K543" s="3">
        <f>E543*F543*G543*I543</f>
        <v/>
      </c>
    </row>
    <row r="544">
      <c r="A544" s="2" t="inlineStr">
        <is>
          <t>技能冷却等级</t>
        </is>
      </c>
      <c r="B544" s="2" t="inlineStr">
        <is>
          <t>固定值</t>
        </is>
      </c>
      <c r="C544" s="2" t="inlineStr">
        <is>
          <t>绿</t>
        </is>
      </c>
      <c r="D544" s="2" t="n">
        <v>15</v>
      </c>
      <c r="E544" s="3">
        <f>INDEX('05_副属性基础'!$C$2:$C$11,MATCH(A544,'05_副属性基础'!$A$2:$A$11,0))</f>
        <v/>
      </c>
      <c r="F544" s="3">
        <f>INDEX('02_品质等级'!$D$2:$D$6,MATCH(C544,'02_品质等级'!$A$2:$A$6,0))</f>
        <v/>
      </c>
      <c r="G544" s="3">
        <f>INDEX('05_副属性基础'!$I$2:$I$13,MATCH(D544,'05_副属性基础'!$G$2:$G$13,0))</f>
        <v/>
      </c>
      <c r="H544" s="3">
        <f>INDEX('02_品质等级'!$G$2:$G$6,MATCH(C544,'02_品质等级'!$A$2:$A$6,0))</f>
        <v/>
      </c>
      <c r="I544" s="3">
        <f>INDEX('02_品质等级'!$H$2:$H$6,MATCH(C544,'02_品质等级'!$A$2:$A$6,0))</f>
        <v/>
      </c>
      <c r="J544" s="3">
        <f>E544*F544*G544*H544</f>
        <v/>
      </c>
      <c r="K544" s="3">
        <f>E544*F544*G544*I544</f>
        <v/>
      </c>
    </row>
    <row r="545">
      <c r="A545" s="2" t="inlineStr">
        <is>
          <t>技能冷却等级</t>
        </is>
      </c>
      <c r="B545" s="2" t="inlineStr">
        <is>
          <t>固定值</t>
        </is>
      </c>
      <c r="C545" s="2" t="inlineStr">
        <is>
          <t>绿</t>
        </is>
      </c>
      <c r="D545" s="2" t="n">
        <v>20</v>
      </c>
      <c r="E545" s="3">
        <f>INDEX('05_副属性基础'!$C$2:$C$11,MATCH(A545,'05_副属性基础'!$A$2:$A$11,0))</f>
        <v/>
      </c>
      <c r="F545" s="3">
        <f>INDEX('02_品质等级'!$D$2:$D$6,MATCH(C545,'02_品质等级'!$A$2:$A$6,0))</f>
        <v/>
      </c>
      <c r="G545" s="3">
        <f>INDEX('05_副属性基础'!$I$2:$I$13,MATCH(D545,'05_副属性基础'!$G$2:$G$13,0))</f>
        <v/>
      </c>
      <c r="H545" s="3">
        <f>INDEX('02_品质等级'!$G$2:$G$6,MATCH(C545,'02_品质等级'!$A$2:$A$6,0))</f>
        <v/>
      </c>
      <c r="I545" s="3">
        <f>INDEX('02_品质等级'!$H$2:$H$6,MATCH(C545,'02_品质等级'!$A$2:$A$6,0))</f>
        <v/>
      </c>
      <c r="J545" s="3">
        <f>E545*F545*G545*H545</f>
        <v/>
      </c>
      <c r="K545" s="3">
        <f>E545*F545*G545*I545</f>
        <v/>
      </c>
    </row>
    <row r="546">
      <c r="A546" s="2" t="inlineStr">
        <is>
          <t>技能冷却等级</t>
        </is>
      </c>
      <c r="B546" s="2" t="inlineStr">
        <is>
          <t>固定值</t>
        </is>
      </c>
      <c r="C546" s="2" t="inlineStr">
        <is>
          <t>绿</t>
        </is>
      </c>
      <c r="D546" s="2" t="n">
        <v>25</v>
      </c>
      <c r="E546" s="3">
        <f>INDEX('05_副属性基础'!$C$2:$C$11,MATCH(A546,'05_副属性基础'!$A$2:$A$11,0))</f>
        <v/>
      </c>
      <c r="F546" s="3">
        <f>INDEX('02_品质等级'!$D$2:$D$6,MATCH(C546,'02_品质等级'!$A$2:$A$6,0))</f>
        <v/>
      </c>
      <c r="G546" s="3">
        <f>INDEX('05_副属性基础'!$I$2:$I$13,MATCH(D546,'05_副属性基础'!$G$2:$G$13,0))</f>
        <v/>
      </c>
      <c r="H546" s="3">
        <f>INDEX('02_品质等级'!$G$2:$G$6,MATCH(C546,'02_品质等级'!$A$2:$A$6,0))</f>
        <v/>
      </c>
      <c r="I546" s="3">
        <f>INDEX('02_品质等级'!$H$2:$H$6,MATCH(C546,'02_品质等级'!$A$2:$A$6,0))</f>
        <v/>
      </c>
      <c r="J546" s="3">
        <f>E546*F546*G546*H546</f>
        <v/>
      </c>
      <c r="K546" s="3">
        <f>E546*F546*G546*I546</f>
        <v/>
      </c>
    </row>
    <row r="547">
      <c r="A547" s="2" t="inlineStr">
        <is>
          <t>技能冷却等级</t>
        </is>
      </c>
      <c r="B547" s="2" t="inlineStr">
        <is>
          <t>固定值</t>
        </is>
      </c>
      <c r="C547" s="2" t="inlineStr">
        <is>
          <t>绿</t>
        </is>
      </c>
      <c r="D547" s="2" t="n">
        <v>30</v>
      </c>
      <c r="E547" s="3">
        <f>INDEX('05_副属性基础'!$C$2:$C$11,MATCH(A547,'05_副属性基础'!$A$2:$A$11,0))</f>
        <v/>
      </c>
      <c r="F547" s="3">
        <f>INDEX('02_品质等级'!$D$2:$D$6,MATCH(C547,'02_品质等级'!$A$2:$A$6,0))</f>
        <v/>
      </c>
      <c r="G547" s="3">
        <f>INDEX('05_副属性基础'!$I$2:$I$13,MATCH(D547,'05_副属性基础'!$G$2:$G$13,0))</f>
        <v/>
      </c>
      <c r="H547" s="3">
        <f>INDEX('02_品质等级'!$G$2:$G$6,MATCH(C547,'02_品质等级'!$A$2:$A$6,0))</f>
        <v/>
      </c>
      <c r="I547" s="3">
        <f>INDEX('02_品质等级'!$H$2:$H$6,MATCH(C547,'02_品质等级'!$A$2:$A$6,0))</f>
        <v/>
      </c>
      <c r="J547" s="3">
        <f>E547*F547*G547*H547</f>
        <v/>
      </c>
      <c r="K547" s="3">
        <f>E547*F547*G547*I547</f>
        <v/>
      </c>
    </row>
    <row r="548">
      <c r="A548" s="2" t="inlineStr">
        <is>
          <t>技能冷却等级</t>
        </is>
      </c>
      <c r="B548" s="2" t="inlineStr">
        <is>
          <t>固定值</t>
        </is>
      </c>
      <c r="C548" s="2" t="inlineStr">
        <is>
          <t>绿</t>
        </is>
      </c>
      <c r="D548" s="2" t="n">
        <v>35</v>
      </c>
      <c r="E548" s="3">
        <f>INDEX('05_副属性基础'!$C$2:$C$11,MATCH(A548,'05_副属性基础'!$A$2:$A$11,0))</f>
        <v/>
      </c>
      <c r="F548" s="3">
        <f>INDEX('02_品质等级'!$D$2:$D$6,MATCH(C548,'02_品质等级'!$A$2:$A$6,0))</f>
        <v/>
      </c>
      <c r="G548" s="3">
        <f>INDEX('05_副属性基础'!$I$2:$I$13,MATCH(D548,'05_副属性基础'!$G$2:$G$13,0))</f>
        <v/>
      </c>
      <c r="H548" s="3">
        <f>INDEX('02_品质等级'!$G$2:$G$6,MATCH(C548,'02_品质等级'!$A$2:$A$6,0))</f>
        <v/>
      </c>
      <c r="I548" s="3">
        <f>INDEX('02_品质等级'!$H$2:$H$6,MATCH(C548,'02_品质等级'!$A$2:$A$6,0))</f>
        <v/>
      </c>
      <c r="J548" s="3">
        <f>E548*F548*G548*H548</f>
        <v/>
      </c>
      <c r="K548" s="3">
        <f>E548*F548*G548*I548</f>
        <v/>
      </c>
    </row>
    <row r="549">
      <c r="A549" s="2" t="inlineStr">
        <is>
          <t>技能冷却等级</t>
        </is>
      </c>
      <c r="B549" s="2" t="inlineStr">
        <is>
          <t>固定值</t>
        </is>
      </c>
      <c r="C549" s="2" t="inlineStr">
        <is>
          <t>绿</t>
        </is>
      </c>
      <c r="D549" s="2" t="n">
        <v>40</v>
      </c>
      <c r="E549" s="3">
        <f>INDEX('05_副属性基础'!$C$2:$C$11,MATCH(A549,'05_副属性基础'!$A$2:$A$11,0))</f>
        <v/>
      </c>
      <c r="F549" s="3">
        <f>INDEX('02_品质等级'!$D$2:$D$6,MATCH(C549,'02_品质等级'!$A$2:$A$6,0))</f>
        <v/>
      </c>
      <c r="G549" s="3">
        <f>INDEX('05_副属性基础'!$I$2:$I$13,MATCH(D549,'05_副属性基础'!$G$2:$G$13,0))</f>
        <v/>
      </c>
      <c r="H549" s="3">
        <f>INDEX('02_品质等级'!$G$2:$G$6,MATCH(C549,'02_品质等级'!$A$2:$A$6,0))</f>
        <v/>
      </c>
      <c r="I549" s="3">
        <f>INDEX('02_品质等级'!$H$2:$H$6,MATCH(C549,'02_品质等级'!$A$2:$A$6,0))</f>
        <v/>
      </c>
      <c r="J549" s="3">
        <f>E549*F549*G549*H549</f>
        <v/>
      </c>
      <c r="K549" s="3">
        <f>E549*F549*G549*I549</f>
        <v/>
      </c>
    </row>
    <row r="550">
      <c r="A550" s="2" t="inlineStr">
        <is>
          <t>技能冷却等级</t>
        </is>
      </c>
      <c r="B550" s="2" t="inlineStr">
        <is>
          <t>固定值</t>
        </is>
      </c>
      <c r="C550" s="2" t="inlineStr">
        <is>
          <t>绿</t>
        </is>
      </c>
      <c r="D550" s="2" t="n">
        <v>45</v>
      </c>
      <c r="E550" s="3">
        <f>INDEX('05_副属性基础'!$C$2:$C$11,MATCH(A550,'05_副属性基础'!$A$2:$A$11,0))</f>
        <v/>
      </c>
      <c r="F550" s="3">
        <f>INDEX('02_品质等级'!$D$2:$D$6,MATCH(C550,'02_品质等级'!$A$2:$A$6,0))</f>
        <v/>
      </c>
      <c r="G550" s="3">
        <f>INDEX('05_副属性基础'!$I$2:$I$13,MATCH(D550,'05_副属性基础'!$G$2:$G$13,0))</f>
        <v/>
      </c>
      <c r="H550" s="3">
        <f>INDEX('02_品质等级'!$G$2:$G$6,MATCH(C550,'02_品质等级'!$A$2:$A$6,0))</f>
        <v/>
      </c>
      <c r="I550" s="3">
        <f>INDEX('02_品质等级'!$H$2:$H$6,MATCH(C550,'02_品质等级'!$A$2:$A$6,0))</f>
        <v/>
      </c>
      <c r="J550" s="3">
        <f>E550*F550*G550*H550</f>
        <v/>
      </c>
      <c r="K550" s="3">
        <f>E550*F550*G550*I550</f>
        <v/>
      </c>
    </row>
    <row r="551">
      <c r="A551" s="2" t="inlineStr">
        <is>
          <t>技能冷却等级</t>
        </is>
      </c>
      <c r="B551" s="2" t="inlineStr">
        <is>
          <t>固定值</t>
        </is>
      </c>
      <c r="C551" s="2" t="inlineStr">
        <is>
          <t>绿</t>
        </is>
      </c>
      <c r="D551" s="2" t="n">
        <v>50</v>
      </c>
      <c r="E551" s="3">
        <f>INDEX('05_副属性基础'!$C$2:$C$11,MATCH(A551,'05_副属性基础'!$A$2:$A$11,0))</f>
        <v/>
      </c>
      <c r="F551" s="3">
        <f>INDEX('02_品质等级'!$D$2:$D$6,MATCH(C551,'02_品质等级'!$A$2:$A$6,0))</f>
        <v/>
      </c>
      <c r="G551" s="3">
        <f>INDEX('05_副属性基础'!$I$2:$I$13,MATCH(D551,'05_副属性基础'!$G$2:$G$13,0))</f>
        <v/>
      </c>
      <c r="H551" s="3">
        <f>INDEX('02_品质等级'!$G$2:$G$6,MATCH(C551,'02_品质等级'!$A$2:$A$6,0))</f>
        <v/>
      </c>
      <c r="I551" s="3">
        <f>INDEX('02_品质等级'!$H$2:$H$6,MATCH(C551,'02_品质等级'!$A$2:$A$6,0))</f>
        <v/>
      </c>
      <c r="J551" s="3">
        <f>E551*F551*G551*H551</f>
        <v/>
      </c>
      <c r="K551" s="3">
        <f>E551*F551*G551*I551</f>
        <v/>
      </c>
    </row>
    <row r="552">
      <c r="A552" s="2" t="inlineStr">
        <is>
          <t>技能冷却等级</t>
        </is>
      </c>
      <c r="B552" s="2" t="inlineStr">
        <is>
          <t>固定值</t>
        </is>
      </c>
      <c r="C552" s="2" t="inlineStr">
        <is>
          <t>绿</t>
        </is>
      </c>
      <c r="D552" s="2" t="n">
        <v>55</v>
      </c>
      <c r="E552" s="3">
        <f>INDEX('05_副属性基础'!$C$2:$C$11,MATCH(A552,'05_副属性基础'!$A$2:$A$11,0))</f>
        <v/>
      </c>
      <c r="F552" s="3">
        <f>INDEX('02_品质等级'!$D$2:$D$6,MATCH(C552,'02_品质等级'!$A$2:$A$6,0))</f>
        <v/>
      </c>
      <c r="G552" s="3">
        <f>INDEX('05_副属性基础'!$I$2:$I$13,MATCH(D552,'05_副属性基础'!$G$2:$G$13,0))</f>
        <v/>
      </c>
      <c r="H552" s="3">
        <f>INDEX('02_品质等级'!$G$2:$G$6,MATCH(C552,'02_品质等级'!$A$2:$A$6,0))</f>
        <v/>
      </c>
      <c r="I552" s="3">
        <f>INDEX('02_品质等级'!$H$2:$H$6,MATCH(C552,'02_品质等级'!$A$2:$A$6,0))</f>
        <v/>
      </c>
      <c r="J552" s="3">
        <f>E552*F552*G552*H552</f>
        <v/>
      </c>
      <c r="K552" s="3">
        <f>E552*F552*G552*I552</f>
        <v/>
      </c>
    </row>
    <row r="553">
      <c r="A553" s="2" t="inlineStr">
        <is>
          <t>技能冷却等级</t>
        </is>
      </c>
      <c r="B553" s="2" t="inlineStr">
        <is>
          <t>固定值</t>
        </is>
      </c>
      <c r="C553" s="2" t="inlineStr">
        <is>
          <t>绿</t>
        </is>
      </c>
      <c r="D553" s="2" t="n">
        <v>60</v>
      </c>
      <c r="E553" s="3">
        <f>INDEX('05_副属性基础'!$C$2:$C$11,MATCH(A553,'05_副属性基础'!$A$2:$A$11,0))</f>
        <v/>
      </c>
      <c r="F553" s="3">
        <f>INDEX('02_品质等级'!$D$2:$D$6,MATCH(C553,'02_品质等级'!$A$2:$A$6,0))</f>
        <v/>
      </c>
      <c r="G553" s="3">
        <f>INDEX('05_副属性基础'!$I$2:$I$13,MATCH(D553,'05_副属性基础'!$G$2:$G$13,0))</f>
        <v/>
      </c>
      <c r="H553" s="3">
        <f>INDEX('02_品质等级'!$G$2:$G$6,MATCH(C553,'02_品质等级'!$A$2:$A$6,0))</f>
        <v/>
      </c>
      <c r="I553" s="3">
        <f>INDEX('02_品质等级'!$H$2:$H$6,MATCH(C553,'02_品质等级'!$A$2:$A$6,0))</f>
        <v/>
      </c>
      <c r="J553" s="3">
        <f>E553*F553*G553*H553</f>
        <v/>
      </c>
      <c r="K553" s="3">
        <f>E553*F553*G553*I553</f>
        <v/>
      </c>
    </row>
    <row r="554">
      <c r="A554" s="2" t="inlineStr">
        <is>
          <t>技能冷却等级</t>
        </is>
      </c>
      <c r="B554" s="2" t="inlineStr">
        <is>
          <t>固定值</t>
        </is>
      </c>
      <c r="C554" s="2" t="inlineStr">
        <is>
          <t>蓝</t>
        </is>
      </c>
      <c r="D554" s="2" t="n">
        <v>5</v>
      </c>
      <c r="E554" s="3">
        <f>INDEX('05_副属性基础'!$C$2:$C$11,MATCH(A554,'05_副属性基础'!$A$2:$A$11,0))</f>
        <v/>
      </c>
      <c r="F554" s="3">
        <f>INDEX('02_品质等级'!$D$2:$D$6,MATCH(C554,'02_品质等级'!$A$2:$A$6,0))</f>
        <v/>
      </c>
      <c r="G554" s="3">
        <f>INDEX('05_副属性基础'!$I$2:$I$13,MATCH(D554,'05_副属性基础'!$G$2:$G$13,0))</f>
        <v/>
      </c>
      <c r="H554" s="3">
        <f>INDEX('02_品质等级'!$G$2:$G$6,MATCH(C554,'02_品质等级'!$A$2:$A$6,0))</f>
        <v/>
      </c>
      <c r="I554" s="3">
        <f>INDEX('02_品质等级'!$H$2:$H$6,MATCH(C554,'02_品质等级'!$A$2:$A$6,0))</f>
        <v/>
      </c>
      <c r="J554" s="3">
        <f>E554*F554*G554*H554</f>
        <v/>
      </c>
      <c r="K554" s="3">
        <f>E554*F554*G554*I554</f>
        <v/>
      </c>
    </row>
    <row r="555">
      <c r="A555" s="2" t="inlineStr">
        <is>
          <t>技能冷却等级</t>
        </is>
      </c>
      <c r="B555" s="2" t="inlineStr">
        <is>
          <t>固定值</t>
        </is>
      </c>
      <c r="C555" s="2" t="inlineStr">
        <is>
          <t>蓝</t>
        </is>
      </c>
      <c r="D555" s="2" t="n">
        <v>10</v>
      </c>
      <c r="E555" s="3">
        <f>INDEX('05_副属性基础'!$C$2:$C$11,MATCH(A555,'05_副属性基础'!$A$2:$A$11,0))</f>
        <v/>
      </c>
      <c r="F555" s="3">
        <f>INDEX('02_品质等级'!$D$2:$D$6,MATCH(C555,'02_品质等级'!$A$2:$A$6,0))</f>
        <v/>
      </c>
      <c r="G555" s="3">
        <f>INDEX('05_副属性基础'!$I$2:$I$13,MATCH(D555,'05_副属性基础'!$G$2:$G$13,0))</f>
        <v/>
      </c>
      <c r="H555" s="3">
        <f>INDEX('02_品质等级'!$G$2:$G$6,MATCH(C555,'02_品质等级'!$A$2:$A$6,0))</f>
        <v/>
      </c>
      <c r="I555" s="3">
        <f>INDEX('02_品质等级'!$H$2:$H$6,MATCH(C555,'02_品质等级'!$A$2:$A$6,0))</f>
        <v/>
      </c>
      <c r="J555" s="3">
        <f>E555*F555*G555*H555</f>
        <v/>
      </c>
      <c r="K555" s="3">
        <f>E555*F555*G555*I555</f>
        <v/>
      </c>
    </row>
    <row r="556">
      <c r="A556" s="2" t="inlineStr">
        <is>
          <t>技能冷却等级</t>
        </is>
      </c>
      <c r="B556" s="2" t="inlineStr">
        <is>
          <t>固定值</t>
        </is>
      </c>
      <c r="C556" s="2" t="inlineStr">
        <is>
          <t>蓝</t>
        </is>
      </c>
      <c r="D556" s="2" t="n">
        <v>15</v>
      </c>
      <c r="E556" s="3">
        <f>INDEX('05_副属性基础'!$C$2:$C$11,MATCH(A556,'05_副属性基础'!$A$2:$A$11,0))</f>
        <v/>
      </c>
      <c r="F556" s="3">
        <f>INDEX('02_品质等级'!$D$2:$D$6,MATCH(C556,'02_品质等级'!$A$2:$A$6,0))</f>
        <v/>
      </c>
      <c r="G556" s="3">
        <f>INDEX('05_副属性基础'!$I$2:$I$13,MATCH(D556,'05_副属性基础'!$G$2:$G$13,0))</f>
        <v/>
      </c>
      <c r="H556" s="3">
        <f>INDEX('02_品质等级'!$G$2:$G$6,MATCH(C556,'02_品质等级'!$A$2:$A$6,0))</f>
        <v/>
      </c>
      <c r="I556" s="3">
        <f>INDEX('02_品质等级'!$H$2:$H$6,MATCH(C556,'02_品质等级'!$A$2:$A$6,0))</f>
        <v/>
      </c>
      <c r="J556" s="3">
        <f>E556*F556*G556*H556</f>
        <v/>
      </c>
      <c r="K556" s="3">
        <f>E556*F556*G556*I556</f>
        <v/>
      </c>
    </row>
    <row r="557">
      <c r="A557" s="2" t="inlineStr">
        <is>
          <t>技能冷却等级</t>
        </is>
      </c>
      <c r="B557" s="2" t="inlineStr">
        <is>
          <t>固定值</t>
        </is>
      </c>
      <c r="C557" s="2" t="inlineStr">
        <is>
          <t>蓝</t>
        </is>
      </c>
      <c r="D557" s="2" t="n">
        <v>20</v>
      </c>
      <c r="E557" s="3">
        <f>INDEX('05_副属性基础'!$C$2:$C$11,MATCH(A557,'05_副属性基础'!$A$2:$A$11,0))</f>
        <v/>
      </c>
      <c r="F557" s="3">
        <f>INDEX('02_品质等级'!$D$2:$D$6,MATCH(C557,'02_品质等级'!$A$2:$A$6,0))</f>
        <v/>
      </c>
      <c r="G557" s="3">
        <f>INDEX('05_副属性基础'!$I$2:$I$13,MATCH(D557,'05_副属性基础'!$G$2:$G$13,0))</f>
        <v/>
      </c>
      <c r="H557" s="3">
        <f>INDEX('02_品质等级'!$G$2:$G$6,MATCH(C557,'02_品质等级'!$A$2:$A$6,0))</f>
        <v/>
      </c>
      <c r="I557" s="3">
        <f>INDEX('02_品质等级'!$H$2:$H$6,MATCH(C557,'02_品质等级'!$A$2:$A$6,0))</f>
        <v/>
      </c>
      <c r="J557" s="3">
        <f>E557*F557*G557*H557</f>
        <v/>
      </c>
      <c r="K557" s="3">
        <f>E557*F557*G557*I557</f>
        <v/>
      </c>
    </row>
    <row r="558">
      <c r="A558" s="2" t="inlineStr">
        <is>
          <t>技能冷却等级</t>
        </is>
      </c>
      <c r="B558" s="2" t="inlineStr">
        <is>
          <t>固定值</t>
        </is>
      </c>
      <c r="C558" s="2" t="inlineStr">
        <is>
          <t>蓝</t>
        </is>
      </c>
      <c r="D558" s="2" t="n">
        <v>25</v>
      </c>
      <c r="E558" s="3">
        <f>INDEX('05_副属性基础'!$C$2:$C$11,MATCH(A558,'05_副属性基础'!$A$2:$A$11,0))</f>
        <v/>
      </c>
      <c r="F558" s="3">
        <f>INDEX('02_品质等级'!$D$2:$D$6,MATCH(C558,'02_品质等级'!$A$2:$A$6,0))</f>
        <v/>
      </c>
      <c r="G558" s="3">
        <f>INDEX('05_副属性基础'!$I$2:$I$13,MATCH(D558,'05_副属性基础'!$G$2:$G$13,0))</f>
        <v/>
      </c>
      <c r="H558" s="3">
        <f>INDEX('02_品质等级'!$G$2:$G$6,MATCH(C558,'02_品质等级'!$A$2:$A$6,0))</f>
        <v/>
      </c>
      <c r="I558" s="3">
        <f>INDEX('02_品质等级'!$H$2:$H$6,MATCH(C558,'02_品质等级'!$A$2:$A$6,0))</f>
        <v/>
      </c>
      <c r="J558" s="3">
        <f>E558*F558*G558*H558</f>
        <v/>
      </c>
      <c r="K558" s="3">
        <f>E558*F558*G558*I558</f>
        <v/>
      </c>
    </row>
    <row r="559">
      <c r="A559" s="2" t="inlineStr">
        <is>
          <t>技能冷却等级</t>
        </is>
      </c>
      <c r="B559" s="2" t="inlineStr">
        <is>
          <t>固定值</t>
        </is>
      </c>
      <c r="C559" s="2" t="inlineStr">
        <is>
          <t>蓝</t>
        </is>
      </c>
      <c r="D559" s="2" t="n">
        <v>30</v>
      </c>
      <c r="E559" s="3">
        <f>INDEX('05_副属性基础'!$C$2:$C$11,MATCH(A559,'05_副属性基础'!$A$2:$A$11,0))</f>
        <v/>
      </c>
      <c r="F559" s="3">
        <f>INDEX('02_品质等级'!$D$2:$D$6,MATCH(C559,'02_品质等级'!$A$2:$A$6,0))</f>
        <v/>
      </c>
      <c r="G559" s="3">
        <f>INDEX('05_副属性基础'!$I$2:$I$13,MATCH(D559,'05_副属性基础'!$G$2:$G$13,0))</f>
        <v/>
      </c>
      <c r="H559" s="3">
        <f>INDEX('02_品质等级'!$G$2:$G$6,MATCH(C559,'02_品质等级'!$A$2:$A$6,0))</f>
        <v/>
      </c>
      <c r="I559" s="3">
        <f>INDEX('02_品质等级'!$H$2:$H$6,MATCH(C559,'02_品质等级'!$A$2:$A$6,0))</f>
        <v/>
      </c>
      <c r="J559" s="3">
        <f>E559*F559*G559*H559</f>
        <v/>
      </c>
      <c r="K559" s="3">
        <f>E559*F559*G559*I559</f>
        <v/>
      </c>
    </row>
    <row r="560">
      <c r="A560" s="2" t="inlineStr">
        <is>
          <t>技能冷却等级</t>
        </is>
      </c>
      <c r="B560" s="2" t="inlineStr">
        <is>
          <t>固定值</t>
        </is>
      </c>
      <c r="C560" s="2" t="inlineStr">
        <is>
          <t>蓝</t>
        </is>
      </c>
      <c r="D560" s="2" t="n">
        <v>35</v>
      </c>
      <c r="E560" s="3">
        <f>INDEX('05_副属性基础'!$C$2:$C$11,MATCH(A560,'05_副属性基础'!$A$2:$A$11,0))</f>
        <v/>
      </c>
      <c r="F560" s="3">
        <f>INDEX('02_品质等级'!$D$2:$D$6,MATCH(C560,'02_品质等级'!$A$2:$A$6,0))</f>
        <v/>
      </c>
      <c r="G560" s="3">
        <f>INDEX('05_副属性基础'!$I$2:$I$13,MATCH(D560,'05_副属性基础'!$G$2:$G$13,0))</f>
        <v/>
      </c>
      <c r="H560" s="3">
        <f>INDEX('02_品质等级'!$G$2:$G$6,MATCH(C560,'02_品质等级'!$A$2:$A$6,0))</f>
        <v/>
      </c>
      <c r="I560" s="3">
        <f>INDEX('02_品质等级'!$H$2:$H$6,MATCH(C560,'02_品质等级'!$A$2:$A$6,0))</f>
        <v/>
      </c>
      <c r="J560" s="3">
        <f>E560*F560*G560*H560</f>
        <v/>
      </c>
      <c r="K560" s="3">
        <f>E560*F560*G560*I560</f>
        <v/>
      </c>
    </row>
    <row r="561">
      <c r="A561" s="2" t="inlineStr">
        <is>
          <t>技能冷却等级</t>
        </is>
      </c>
      <c r="B561" s="2" t="inlineStr">
        <is>
          <t>固定值</t>
        </is>
      </c>
      <c r="C561" s="2" t="inlineStr">
        <is>
          <t>蓝</t>
        </is>
      </c>
      <c r="D561" s="2" t="n">
        <v>40</v>
      </c>
      <c r="E561" s="3">
        <f>INDEX('05_副属性基础'!$C$2:$C$11,MATCH(A561,'05_副属性基础'!$A$2:$A$11,0))</f>
        <v/>
      </c>
      <c r="F561" s="3">
        <f>INDEX('02_品质等级'!$D$2:$D$6,MATCH(C561,'02_品质等级'!$A$2:$A$6,0))</f>
        <v/>
      </c>
      <c r="G561" s="3">
        <f>INDEX('05_副属性基础'!$I$2:$I$13,MATCH(D561,'05_副属性基础'!$G$2:$G$13,0))</f>
        <v/>
      </c>
      <c r="H561" s="3">
        <f>INDEX('02_品质等级'!$G$2:$G$6,MATCH(C561,'02_品质等级'!$A$2:$A$6,0))</f>
        <v/>
      </c>
      <c r="I561" s="3">
        <f>INDEX('02_品质等级'!$H$2:$H$6,MATCH(C561,'02_品质等级'!$A$2:$A$6,0))</f>
        <v/>
      </c>
      <c r="J561" s="3">
        <f>E561*F561*G561*H561</f>
        <v/>
      </c>
      <c r="K561" s="3">
        <f>E561*F561*G561*I561</f>
        <v/>
      </c>
    </row>
    <row r="562">
      <c r="A562" s="2" t="inlineStr">
        <is>
          <t>技能冷却等级</t>
        </is>
      </c>
      <c r="B562" s="2" t="inlineStr">
        <is>
          <t>固定值</t>
        </is>
      </c>
      <c r="C562" s="2" t="inlineStr">
        <is>
          <t>蓝</t>
        </is>
      </c>
      <c r="D562" s="2" t="n">
        <v>45</v>
      </c>
      <c r="E562" s="3">
        <f>INDEX('05_副属性基础'!$C$2:$C$11,MATCH(A562,'05_副属性基础'!$A$2:$A$11,0))</f>
        <v/>
      </c>
      <c r="F562" s="3">
        <f>INDEX('02_品质等级'!$D$2:$D$6,MATCH(C562,'02_品质等级'!$A$2:$A$6,0))</f>
        <v/>
      </c>
      <c r="G562" s="3">
        <f>INDEX('05_副属性基础'!$I$2:$I$13,MATCH(D562,'05_副属性基础'!$G$2:$G$13,0))</f>
        <v/>
      </c>
      <c r="H562" s="3">
        <f>INDEX('02_品质等级'!$G$2:$G$6,MATCH(C562,'02_品质等级'!$A$2:$A$6,0))</f>
        <v/>
      </c>
      <c r="I562" s="3">
        <f>INDEX('02_品质等级'!$H$2:$H$6,MATCH(C562,'02_品质等级'!$A$2:$A$6,0))</f>
        <v/>
      </c>
      <c r="J562" s="3">
        <f>E562*F562*G562*H562</f>
        <v/>
      </c>
      <c r="K562" s="3">
        <f>E562*F562*G562*I562</f>
        <v/>
      </c>
    </row>
    <row r="563">
      <c r="A563" s="2" t="inlineStr">
        <is>
          <t>技能冷却等级</t>
        </is>
      </c>
      <c r="B563" s="2" t="inlineStr">
        <is>
          <t>固定值</t>
        </is>
      </c>
      <c r="C563" s="2" t="inlineStr">
        <is>
          <t>蓝</t>
        </is>
      </c>
      <c r="D563" s="2" t="n">
        <v>50</v>
      </c>
      <c r="E563" s="3">
        <f>INDEX('05_副属性基础'!$C$2:$C$11,MATCH(A563,'05_副属性基础'!$A$2:$A$11,0))</f>
        <v/>
      </c>
      <c r="F563" s="3">
        <f>INDEX('02_品质等级'!$D$2:$D$6,MATCH(C563,'02_品质等级'!$A$2:$A$6,0))</f>
        <v/>
      </c>
      <c r="G563" s="3">
        <f>INDEX('05_副属性基础'!$I$2:$I$13,MATCH(D563,'05_副属性基础'!$G$2:$G$13,0))</f>
        <v/>
      </c>
      <c r="H563" s="3">
        <f>INDEX('02_品质等级'!$G$2:$G$6,MATCH(C563,'02_品质等级'!$A$2:$A$6,0))</f>
        <v/>
      </c>
      <c r="I563" s="3">
        <f>INDEX('02_品质等级'!$H$2:$H$6,MATCH(C563,'02_品质等级'!$A$2:$A$6,0))</f>
        <v/>
      </c>
      <c r="J563" s="3">
        <f>E563*F563*G563*H563</f>
        <v/>
      </c>
      <c r="K563" s="3">
        <f>E563*F563*G563*I563</f>
        <v/>
      </c>
    </row>
    <row r="564">
      <c r="A564" s="2" t="inlineStr">
        <is>
          <t>技能冷却等级</t>
        </is>
      </c>
      <c r="B564" s="2" t="inlineStr">
        <is>
          <t>固定值</t>
        </is>
      </c>
      <c r="C564" s="2" t="inlineStr">
        <is>
          <t>蓝</t>
        </is>
      </c>
      <c r="D564" s="2" t="n">
        <v>55</v>
      </c>
      <c r="E564" s="3">
        <f>INDEX('05_副属性基础'!$C$2:$C$11,MATCH(A564,'05_副属性基础'!$A$2:$A$11,0))</f>
        <v/>
      </c>
      <c r="F564" s="3">
        <f>INDEX('02_品质等级'!$D$2:$D$6,MATCH(C564,'02_品质等级'!$A$2:$A$6,0))</f>
        <v/>
      </c>
      <c r="G564" s="3">
        <f>INDEX('05_副属性基础'!$I$2:$I$13,MATCH(D564,'05_副属性基础'!$G$2:$G$13,0))</f>
        <v/>
      </c>
      <c r="H564" s="3">
        <f>INDEX('02_品质等级'!$G$2:$G$6,MATCH(C564,'02_品质等级'!$A$2:$A$6,0))</f>
        <v/>
      </c>
      <c r="I564" s="3">
        <f>INDEX('02_品质等级'!$H$2:$H$6,MATCH(C564,'02_品质等级'!$A$2:$A$6,0))</f>
        <v/>
      </c>
      <c r="J564" s="3">
        <f>E564*F564*G564*H564</f>
        <v/>
      </c>
      <c r="K564" s="3">
        <f>E564*F564*G564*I564</f>
        <v/>
      </c>
    </row>
    <row r="565">
      <c r="A565" s="2" t="inlineStr">
        <is>
          <t>技能冷却等级</t>
        </is>
      </c>
      <c r="B565" s="2" t="inlineStr">
        <is>
          <t>固定值</t>
        </is>
      </c>
      <c r="C565" s="2" t="inlineStr">
        <is>
          <t>蓝</t>
        </is>
      </c>
      <c r="D565" s="2" t="n">
        <v>60</v>
      </c>
      <c r="E565" s="3">
        <f>INDEX('05_副属性基础'!$C$2:$C$11,MATCH(A565,'05_副属性基础'!$A$2:$A$11,0))</f>
        <v/>
      </c>
      <c r="F565" s="3">
        <f>INDEX('02_品质等级'!$D$2:$D$6,MATCH(C565,'02_品质等级'!$A$2:$A$6,0))</f>
        <v/>
      </c>
      <c r="G565" s="3">
        <f>INDEX('05_副属性基础'!$I$2:$I$13,MATCH(D565,'05_副属性基础'!$G$2:$G$13,0))</f>
        <v/>
      </c>
      <c r="H565" s="3">
        <f>INDEX('02_品质等级'!$G$2:$G$6,MATCH(C565,'02_品质等级'!$A$2:$A$6,0))</f>
        <v/>
      </c>
      <c r="I565" s="3">
        <f>INDEX('02_品质等级'!$H$2:$H$6,MATCH(C565,'02_品质等级'!$A$2:$A$6,0))</f>
        <v/>
      </c>
      <c r="J565" s="3">
        <f>E565*F565*G565*H565</f>
        <v/>
      </c>
      <c r="K565" s="3">
        <f>E565*F565*G565*I565</f>
        <v/>
      </c>
    </row>
    <row r="566">
      <c r="A566" s="2" t="inlineStr">
        <is>
          <t>技能冷却等级</t>
        </is>
      </c>
      <c r="B566" s="2" t="inlineStr">
        <is>
          <t>固定值</t>
        </is>
      </c>
      <c r="C566" s="2" t="inlineStr">
        <is>
          <t>紫</t>
        </is>
      </c>
      <c r="D566" s="2" t="n">
        <v>5</v>
      </c>
      <c r="E566" s="3">
        <f>INDEX('05_副属性基础'!$C$2:$C$11,MATCH(A566,'05_副属性基础'!$A$2:$A$11,0))</f>
        <v/>
      </c>
      <c r="F566" s="3">
        <f>INDEX('02_品质等级'!$D$2:$D$6,MATCH(C566,'02_品质等级'!$A$2:$A$6,0))</f>
        <v/>
      </c>
      <c r="G566" s="3">
        <f>INDEX('05_副属性基础'!$I$2:$I$13,MATCH(D566,'05_副属性基础'!$G$2:$G$13,0))</f>
        <v/>
      </c>
      <c r="H566" s="3">
        <f>INDEX('02_品质等级'!$G$2:$G$6,MATCH(C566,'02_品质等级'!$A$2:$A$6,0))</f>
        <v/>
      </c>
      <c r="I566" s="3">
        <f>INDEX('02_品质等级'!$H$2:$H$6,MATCH(C566,'02_品质等级'!$A$2:$A$6,0))</f>
        <v/>
      </c>
      <c r="J566" s="3">
        <f>E566*F566*G566*H566</f>
        <v/>
      </c>
      <c r="K566" s="3">
        <f>E566*F566*G566*I566</f>
        <v/>
      </c>
    </row>
    <row r="567">
      <c r="A567" s="2" t="inlineStr">
        <is>
          <t>技能冷却等级</t>
        </is>
      </c>
      <c r="B567" s="2" t="inlineStr">
        <is>
          <t>固定值</t>
        </is>
      </c>
      <c r="C567" s="2" t="inlineStr">
        <is>
          <t>紫</t>
        </is>
      </c>
      <c r="D567" s="2" t="n">
        <v>10</v>
      </c>
      <c r="E567" s="3">
        <f>INDEX('05_副属性基础'!$C$2:$C$11,MATCH(A567,'05_副属性基础'!$A$2:$A$11,0))</f>
        <v/>
      </c>
      <c r="F567" s="3">
        <f>INDEX('02_品质等级'!$D$2:$D$6,MATCH(C567,'02_品质等级'!$A$2:$A$6,0))</f>
        <v/>
      </c>
      <c r="G567" s="3">
        <f>INDEX('05_副属性基础'!$I$2:$I$13,MATCH(D567,'05_副属性基础'!$G$2:$G$13,0))</f>
        <v/>
      </c>
      <c r="H567" s="3">
        <f>INDEX('02_品质等级'!$G$2:$G$6,MATCH(C567,'02_品质等级'!$A$2:$A$6,0))</f>
        <v/>
      </c>
      <c r="I567" s="3">
        <f>INDEX('02_品质等级'!$H$2:$H$6,MATCH(C567,'02_品质等级'!$A$2:$A$6,0))</f>
        <v/>
      </c>
      <c r="J567" s="3">
        <f>E567*F567*G567*H567</f>
        <v/>
      </c>
      <c r="K567" s="3">
        <f>E567*F567*G567*I567</f>
        <v/>
      </c>
    </row>
    <row r="568">
      <c r="A568" s="2" t="inlineStr">
        <is>
          <t>技能冷却等级</t>
        </is>
      </c>
      <c r="B568" s="2" t="inlineStr">
        <is>
          <t>固定值</t>
        </is>
      </c>
      <c r="C568" s="2" t="inlineStr">
        <is>
          <t>紫</t>
        </is>
      </c>
      <c r="D568" s="2" t="n">
        <v>15</v>
      </c>
      <c r="E568" s="3">
        <f>INDEX('05_副属性基础'!$C$2:$C$11,MATCH(A568,'05_副属性基础'!$A$2:$A$11,0))</f>
        <v/>
      </c>
      <c r="F568" s="3">
        <f>INDEX('02_品质等级'!$D$2:$D$6,MATCH(C568,'02_品质等级'!$A$2:$A$6,0))</f>
        <v/>
      </c>
      <c r="G568" s="3">
        <f>INDEX('05_副属性基础'!$I$2:$I$13,MATCH(D568,'05_副属性基础'!$G$2:$G$13,0))</f>
        <v/>
      </c>
      <c r="H568" s="3">
        <f>INDEX('02_品质等级'!$G$2:$G$6,MATCH(C568,'02_品质等级'!$A$2:$A$6,0))</f>
        <v/>
      </c>
      <c r="I568" s="3">
        <f>INDEX('02_品质等级'!$H$2:$H$6,MATCH(C568,'02_品质等级'!$A$2:$A$6,0))</f>
        <v/>
      </c>
      <c r="J568" s="3">
        <f>E568*F568*G568*H568</f>
        <v/>
      </c>
      <c r="K568" s="3">
        <f>E568*F568*G568*I568</f>
        <v/>
      </c>
    </row>
    <row r="569">
      <c r="A569" s="2" t="inlineStr">
        <is>
          <t>技能冷却等级</t>
        </is>
      </c>
      <c r="B569" s="2" t="inlineStr">
        <is>
          <t>固定值</t>
        </is>
      </c>
      <c r="C569" s="2" t="inlineStr">
        <is>
          <t>紫</t>
        </is>
      </c>
      <c r="D569" s="2" t="n">
        <v>20</v>
      </c>
      <c r="E569" s="3">
        <f>INDEX('05_副属性基础'!$C$2:$C$11,MATCH(A569,'05_副属性基础'!$A$2:$A$11,0))</f>
        <v/>
      </c>
      <c r="F569" s="3">
        <f>INDEX('02_品质等级'!$D$2:$D$6,MATCH(C569,'02_品质等级'!$A$2:$A$6,0))</f>
        <v/>
      </c>
      <c r="G569" s="3">
        <f>INDEX('05_副属性基础'!$I$2:$I$13,MATCH(D569,'05_副属性基础'!$G$2:$G$13,0))</f>
        <v/>
      </c>
      <c r="H569" s="3">
        <f>INDEX('02_品质等级'!$G$2:$G$6,MATCH(C569,'02_品质等级'!$A$2:$A$6,0))</f>
        <v/>
      </c>
      <c r="I569" s="3">
        <f>INDEX('02_品质等级'!$H$2:$H$6,MATCH(C569,'02_品质等级'!$A$2:$A$6,0))</f>
        <v/>
      </c>
      <c r="J569" s="3">
        <f>E569*F569*G569*H569</f>
        <v/>
      </c>
      <c r="K569" s="3">
        <f>E569*F569*G569*I569</f>
        <v/>
      </c>
    </row>
    <row r="570">
      <c r="A570" s="2" t="inlineStr">
        <is>
          <t>技能冷却等级</t>
        </is>
      </c>
      <c r="B570" s="2" t="inlineStr">
        <is>
          <t>固定值</t>
        </is>
      </c>
      <c r="C570" s="2" t="inlineStr">
        <is>
          <t>紫</t>
        </is>
      </c>
      <c r="D570" s="2" t="n">
        <v>25</v>
      </c>
      <c r="E570" s="3">
        <f>INDEX('05_副属性基础'!$C$2:$C$11,MATCH(A570,'05_副属性基础'!$A$2:$A$11,0))</f>
        <v/>
      </c>
      <c r="F570" s="3">
        <f>INDEX('02_品质等级'!$D$2:$D$6,MATCH(C570,'02_品质等级'!$A$2:$A$6,0))</f>
        <v/>
      </c>
      <c r="G570" s="3">
        <f>INDEX('05_副属性基础'!$I$2:$I$13,MATCH(D570,'05_副属性基础'!$G$2:$G$13,0))</f>
        <v/>
      </c>
      <c r="H570" s="3">
        <f>INDEX('02_品质等级'!$G$2:$G$6,MATCH(C570,'02_品质等级'!$A$2:$A$6,0))</f>
        <v/>
      </c>
      <c r="I570" s="3">
        <f>INDEX('02_品质等级'!$H$2:$H$6,MATCH(C570,'02_品质等级'!$A$2:$A$6,0))</f>
        <v/>
      </c>
      <c r="J570" s="3">
        <f>E570*F570*G570*H570</f>
        <v/>
      </c>
      <c r="K570" s="3">
        <f>E570*F570*G570*I570</f>
        <v/>
      </c>
    </row>
    <row r="571">
      <c r="A571" s="2" t="inlineStr">
        <is>
          <t>技能冷却等级</t>
        </is>
      </c>
      <c r="B571" s="2" t="inlineStr">
        <is>
          <t>固定值</t>
        </is>
      </c>
      <c r="C571" s="2" t="inlineStr">
        <is>
          <t>紫</t>
        </is>
      </c>
      <c r="D571" s="2" t="n">
        <v>30</v>
      </c>
      <c r="E571" s="3">
        <f>INDEX('05_副属性基础'!$C$2:$C$11,MATCH(A571,'05_副属性基础'!$A$2:$A$11,0))</f>
        <v/>
      </c>
      <c r="F571" s="3">
        <f>INDEX('02_品质等级'!$D$2:$D$6,MATCH(C571,'02_品质等级'!$A$2:$A$6,0))</f>
        <v/>
      </c>
      <c r="G571" s="3">
        <f>INDEX('05_副属性基础'!$I$2:$I$13,MATCH(D571,'05_副属性基础'!$G$2:$G$13,0))</f>
        <v/>
      </c>
      <c r="H571" s="3">
        <f>INDEX('02_品质等级'!$G$2:$G$6,MATCH(C571,'02_品质等级'!$A$2:$A$6,0))</f>
        <v/>
      </c>
      <c r="I571" s="3">
        <f>INDEX('02_品质等级'!$H$2:$H$6,MATCH(C571,'02_品质等级'!$A$2:$A$6,0))</f>
        <v/>
      </c>
      <c r="J571" s="3">
        <f>E571*F571*G571*H571</f>
        <v/>
      </c>
      <c r="K571" s="3">
        <f>E571*F571*G571*I571</f>
        <v/>
      </c>
    </row>
    <row r="572">
      <c r="A572" s="2" t="inlineStr">
        <is>
          <t>技能冷却等级</t>
        </is>
      </c>
      <c r="B572" s="2" t="inlineStr">
        <is>
          <t>固定值</t>
        </is>
      </c>
      <c r="C572" s="2" t="inlineStr">
        <is>
          <t>紫</t>
        </is>
      </c>
      <c r="D572" s="2" t="n">
        <v>35</v>
      </c>
      <c r="E572" s="3">
        <f>INDEX('05_副属性基础'!$C$2:$C$11,MATCH(A572,'05_副属性基础'!$A$2:$A$11,0))</f>
        <v/>
      </c>
      <c r="F572" s="3">
        <f>INDEX('02_品质等级'!$D$2:$D$6,MATCH(C572,'02_品质等级'!$A$2:$A$6,0))</f>
        <v/>
      </c>
      <c r="G572" s="3">
        <f>INDEX('05_副属性基础'!$I$2:$I$13,MATCH(D572,'05_副属性基础'!$G$2:$G$13,0))</f>
        <v/>
      </c>
      <c r="H572" s="3">
        <f>INDEX('02_品质等级'!$G$2:$G$6,MATCH(C572,'02_品质等级'!$A$2:$A$6,0))</f>
        <v/>
      </c>
      <c r="I572" s="3">
        <f>INDEX('02_品质等级'!$H$2:$H$6,MATCH(C572,'02_品质等级'!$A$2:$A$6,0))</f>
        <v/>
      </c>
      <c r="J572" s="3">
        <f>E572*F572*G572*H572</f>
        <v/>
      </c>
      <c r="K572" s="3">
        <f>E572*F572*G572*I572</f>
        <v/>
      </c>
    </row>
    <row r="573">
      <c r="A573" s="2" t="inlineStr">
        <is>
          <t>技能冷却等级</t>
        </is>
      </c>
      <c r="B573" s="2" t="inlineStr">
        <is>
          <t>固定值</t>
        </is>
      </c>
      <c r="C573" s="2" t="inlineStr">
        <is>
          <t>紫</t>
        </is>
      </c>
      <c r="D573" s="2" t="n">
        <v>40</v>
      </c>
      <c r="E573" s="3">
        <f>INDEX('05_副属性基础'!$C$2:$C$11,MATCH(A573,'05_副属性基础'!$A$2:$A$11,0))</f>
        <v/>
      </c>
      <c r="F573" s="3">
        <f>INDEX('02_品质等级'!$D$2:$D$6,MATCH(C573,'02_品质等级'!$A$2:$A$6,0))</f>
        <v/>
      </c>
      <c r="G573" s="3">
        <f>INDEX('05_副属性基础'!$I$2:$I$13,MATCH(D573,'05_副属性基础'!$G$2:$G$13,0))</f>
        <v/>
      </c>
      <c r="H573" s="3">
        <f>INDEX('02_品质等级'!$G$2:$G$6,MATCH(C573,'02_品质等级'!$A$2:$A$6,0))</f>
        <v/>
      </c>
      <c r="I573" s="3">
        <f>INDEX('02_品质等级'!$H$2:$H$6,MATCH(C573,'02_品质等级'!$A$2:$A$6,0))</f>
        <v/>
      </c>
      <c r="J573" s="3">
        <f>E573*F573*G573*H573</f>
        <v/>
      </c>
      <c r="K573" s="3">
        <f>E573*F573*G573*I573</f>
        <v/>
      </c>
    </row>
    <row r="574">
      <c r="A574" s="2" t="inlineStr">
        <is>
          <t>技能冷却等级</t>
        </is>
      </c>
      <c r="B574" s="2" t="inlineStr">
        <is>
          <t>固定值</t>
        </is>
      </c>
      <c r="C574" s="2" t="inlineStr">
        <is>
          <t>紫</t>
        </is>
      </c>
      <c r="D574" s="2" t="n">
        <v>45</v>
      </c>
      <c r="E574" s="3">
        <f>INDEX('05_副属性基础'!$C$2:$C$11,MATCH(A574,'05_副属性基础'!$A$2:$A$11,0))</f>
        <v/>
      </c>
      <c r="F574" s="3">
        <f>INDEX('02_品质等级'!$D$2:$D$6,MATCH(C574,'02_品质等级'!$A$2:$A$6,0))</f>
        <v/>
      </c>
      <c r="G574" s="3">
        <f>INDEX('05_副属性基础'!$I$2:$I$13,MATCH(D574,'05_副属性基础'!$G$2:$G$13,0))</f>
        <v/>
      </c>
      <c r="H574" s="3">
        <f>INDEX('02_品质等级'!$G$2:$G$6,MATCH(C574,'02_品质等级'!$A$2:$A$6,0))</f>
        <v/>
      </c>
      <c r="I574" s="3">
        <f>INDEX('02_品质等级'!$H$2:$H$6,MATCH(C574,'02_品质等级'!$A$2:$A$6,0))</f>
        <v/>
      </c>
      <c r="J574" s="3">
        <f>E574*F574*G574*H574</f>
        <v/>
      </c>
      <c r="K574" s="3">
        <f>E574*F574*G574*I574</f>
        <v/>
      </c>
    </row>
    <row r="575">
      <c r="A575" s="2" t="inlineStr">
        <is>
          <t>技能冷却等级</t>
        </is>
      </c>
      <c r="B575" s="2" t="inlineStr">
        <is>
          <t>固定值</t>
        </is>
      </c>
      <c r="C575" s="2" t="inlineStr">
        <is>
          <t>紫</t>
        </is>
      </c>
      <c r="D575" s="2" t="n">
        <v>50</v>
      </c>
      <c r="E575" s="3">
        <f>INDEX('05_副属性基础'!$C$2:$C$11,MATCH(A575,'05_副属性基础'!$A$2:$A$11,0))</f>
        <v/>
      </c>
      <c r="F575" s="3">
        <f>INDEX('02_品质等级'!$D$2:$D$6,MATCH(C575,'02_品质等级'!$A$2:$A$6,0))</f>
        <v/>
      </c>
      <c r="G575" s="3">
        <f>INDEX('05_副属性基础'!$I$2:$I$13,MATCH(D575,'05_副属性基础'!$G$2:$G$13,0))</f>
        <v/>
      </c>
      <c r="H575" s="3">
        <f>INDEX('02_品质等级'!$G$2:$G$6,MATCH(C575,'02_品质等级'!$A$2:$A$6,0))</f>
        <v/>
      </c>
      <c r="I575" s="3">
        <f>INDEX('02_品质等级'!$H$2:$H$6,MATCH(C575,'02_品质等级'!$A$2:$A$6,0))</f>
        <v/>
      </c>
      <c r="J575" s="3">
        <f>E575*F575*G575*H575</f>
        <v/>
      </c>
      <c r="K575" s="3">
        <f>E575*F575*G575*I575</f>
        <v/>
      </c>
    </row>
    <row r="576">
      <c r="A576" s="2" t="inlineStr">
        <is>
          <t>技能冷却等级</t>
        </is>
      </c>
      <c r="B576" s="2" t="inlineStr">
        <is>
          <t>固定值</t>
        </is>
      </c>
      <c r="C576" s="2" t="inlineStr">
        <is>
          <t>紫</t>
        </is>
      </c>
      <c r="D576" s="2" t="n">
        <v>55</v>
      </c>
      <c r="E576" s="3">
        <f>INDEX('05_副属性基础'!$C$2:$C$11,MATCH(A576,'05_副属性基础'!$A$2:$A$11,0))</f>
        <v/>
      </c>
      <c r="F576" s="3">
        <f>INDEX('02_品质等级'!$D$2:$D$6,MATCH(C576,'02_品质等级'!$A$2:$A$6,0))</f>
        <v/>
      </c>
      <c r="G576" s="3">
        <f>INDEX('05_副属性基础'!$I$2:$I$13,MATCH(D576,'05_副属性基础'!$G$2:$G$13,0))</f>
        <v/>
      </c>
      <c r="H576" s="3">
        <f>INDEX('02_品质等级'!$G$2:$G$6,MATCH(C576,'02_品质等级'!$A$2:$A$6,0))</f>
        <v/>
      </c>
      <c r="I576" s="3">
        <f>INDEX('02_品质等级'!$H$2:$H$6,MATCH(C576,'02_品质等级'!$A$2:$A$6,0))</f>
        <v/>
      </c>
      <c r="J576" s="3">
        <f>E576*F576*G576*H576</f>
        <v/>
      </c>
      <c r="K576" s="3">
        <f>E576*F576*G576*I576</f>
        <v/>
      </c>
    </row>
    <row r="577">
      <c r="A577" s="2" t="inlineStr">
        <is>
          <t>技能冷却等级</t>
        </is>
      </c>
      <c r="B577" s="2" t="inlineStr">
        <is>
          <t>固定值</t>
        </is>
      </c>
      <c r="C577" s="2" t="inlineStr">
        <is>
          <t>紫</t>
        </is>
      </c>
      <c r="D577" s="2" t="n">
        <v>60</v>
      </c>
      <c r="E577" s="3">
        <f>INDEX('05_副属性基础'!$C$2:$C$11,MATCH(A577,'05_副属性基础'!$A$2:$A$11,0))</f>
        <v/>
      </c>
      <c r="F577" s="3">
        <f>INDEX('02_品质等级'!$D$2:$D$6,MATCH(C577,'02_品质等级'!$A$2:$A$6,0))</f>
        <v/>
      </c>
      <c r="G577" s="3">
        <f>INDEX('05_副属性基础'!$I$2:$I$13,MATCH(D577,'05_副属性基础'!$G$2:$G$13,0))</f>
        <v/>
      </c>
      <c r="H577" s="3">
        <f>INDEX('02_品质等级'!$G$2:$G$6,MATCH(C577,'02_品质等级'!$A$2:$A$6,0))</f>
        <v/>
      </c>
      <c r="I577" s="3">
        <f>INDEX('02_品质等级'!$H$2:$H$6,MATCH(C577,'02_品质等级'!$A$2:$A$6,0))</f>
        <v/>
      </c>
      <c r="J577" s="3">
        <f>E577*F577*G577*H577</f>
        <v/>
      </c>
      <c r="K577" s="3">
        <f>E577*F577*G577*I577</f>
        <v/>
      </c>
    </row>
    <row r="578">
      <c r="A578" s="2" t="inlineStr">
        <is>
          <t>技能冷却等级</t>
        </is>
      </c>
      <c r="B578" s="2" t="inlineStr">
        <is>
          <t>固定值</t>
        </is>
      </c>
      <c r="C578" s="2" t="inlineStr">
        <is>
          <t>金</t>
        </is>
      </c>
      <c r="D578" s="2" t="n">
        <v>5</v>
      </c>
      <c r="E578" s="3">
        <f>INDEX('05_副属性基础'!$C$2:$C$11,MATCH(A578,'05_副属性基础'!$A$2:$A$11,0))</f>
        <v/>
      </c>
      <c r="F578" s="3">
        <f>INDEX('02_品质等级'!$D$2:$D$6,MATCH(C578,'02_品质等级'!$A$2:$A$6,0))</f>
        <v/>
      </c>
      <c r="G578" s="3">
        <f>INDEX('05_副属性基础'!$I$2:$I$13,MATCH(D578,'05_副属性基础'!$G$2:$G$13,0))</f>
        <v/>
      </c>
      <c r="H578" s="3">
        <f>INDEX('02_品质等级'!$G$2:$G$6,MATCH(C578,'02_品质等级'!$A$2:$A$6,0))</f>
        <v/>
      </c>
      <c r="I578" s="3">
        <f>INDEX('02_品质等级'!$H$2:$H$6,MATCH(C578,'02_品质等级'!$A$2:$A$6,0))</f>
        <v/>
      </c>
      <c r="J578" s="3">
        <f>E578*F578*G578*H578</f>
        <v/>
      </c>
      <c r="K578" s="3">
        <f>E578*F578*G578*I578</f>
        <v/>
      </c>
    </row>
    <row r="579">
      <c r="A579" s="2" t="inlineStr">
        <is>
          <t>技能冷却等级</t>
        </is>
      </c>
      <c r="B579" s="2" t="inlineStr">
        <is>
          <t>固定值</t>
        </is>
      </c>
      <c r="C579" s="2" t="inlineStr">
        <is>
          <t>金</t>
        </is>
      </c>
      <c r="D579" s="2" t="n">
        <v>10</v>
      </c>
      <c r="E579" s="3">
        <f>INDEX('05_副属性基础'!$C$2:$C$11,MATCH(A579,'05_副属性基础'!$A$2:$A$11,0))</f>
        <v/>
      </c>
      <c r="F579" s="3">
        <f>INDEX('02_品质等级'!$D$2:$D$6,MATCH(C579,'02_品质等级'!$A$2:$A$6,0))</f>
        <v/>
      </c>
      <c r="G579" s="3">
        <f>INDEX('05_副属性基础'!$I$2:$I$13,MATCH(D579,'05_副属性基础'!$G$2:$G$13,0))</f>
        <v/>
      </c>
      <c r="H579" s="3">
        <f>INDEX('02_品质等级'!$G$2:$G$6,MATCH(C579,'02_品质等级'!$A$2:$A$6,0))</f>
        <v/>
      </c>
      <c r="I579" s="3">
        <f>INDEX('02_品质等级'!$H$2:$H$6,MATCH(C579,'02_品质等级'!$A$2:$A$6,0))</f>
        <v/>
      </c>
      <c r="J579" s="3">
        <f>E579*F579*G579*H579</f>
        <v/>
      </c>
      <c r="K579" s="3">
        <f>E579*F579*G579*I579</f>
        <v/>
      </c>
    </row>
    <row r="580">
      <c r="A580" s="2" t="inlineStr">
        <is>
          <t>技能冷却等级</t>
        </is>
      </c>
      <c r="B580" s="2" t="inlineStr">
        <is>
          <t>固定值</t>
        </is>
      </c>
      <c r="C580" s="2" t="inlineStr">
        <is>
          <t>金</t>
        </is>
      </c>
      <c r="D580" s="2" t="n">
        <v>15</v>
      </c>
      <c r="E580" s="3">
        <f>INDEX('05_副属性基础'!$C$2:$C$11,MATCH(A580,'05_副属性基础'!$A$2:$A$11,0))</f>
        <v/>
      </c>
      <c r="F580" s="3">
        <f>INDEX('02_品质等级'!$D$2:$D$6,MATCH(C580,'02_品质等级'!$A$2:$A$6,0))</f>
        <v/>
      </c>
      <c r="G580" s="3">
        <f>INDEX('05_副属性基础'!$I$2:$I$13,MATCH(D580,'05_副属性基础'!$G$2:$G$13,0))</f>
        <v/>
      </c>
      <c r="H580" s="3">
        <f>INDEX('02_品质等级'!$G$2:$G$6,MATCH(C580,'02_品质等级'!$A$2:$A$6,0))</f>
        <v/>
      </c>
      <c r="I580" s="3">
        <f>INDEX('02_品质等级'!$H$2:$H$6,MATCH(C580,'02_品质等级'!$A$2:$A$6,0))</f>
        <v/>
      </c>
      <c r="J580" s="3">
        <f>E580*F580*G580*H580</f>
        <v/>
      </c>
      <c r="K580" s="3">
        <f>E580*F580*G580*I580</f>
        <v/>
      </c>
    </row>
    <row r="581">
      <c r="A581" s="2" t="inlineStr">
        <is>
          <t>技能冷却等级</t>
        </is>
      </c>
      <c r="B581" s="2" t="inlineStr">
        <is>
          <t>固定值</t>
        </is>
      </c>
      <c r="C581" s="2" t="inlineStr">
        <is>
          <t>金</t>
        </is>
      </c>
      <c r="D581" s="2" t="n">
        <v>20</v>
      </c>
      <c r="E581" s="3">
        <f>INDEX('05_副属性基础'!$C$2:$C$11,MATCH(A581,'05_副属性基础'!$A$2:$A$11,0))</f>
        <v/>
      </c>
      <c r="F581" s="3">
        <f>INDEX('02_品质等级'!$D$2:$D$6,MATCH(C581,'02_品质等级'!$A$2:$A$6,0))</f>
        <v/>
      </c>
      <c r="G581" s="3">
        <f>INDEX('05_副属性基础'!$I$2:$I$13,MATCH(D581,'05_副属性基础'!$G$2:$G$13,0))</f>
        <v/>
      </c>
      <c r="H581" s="3">
        <f>INDEX('02_品质等级'!$G$2:$G$6,MATCH(C581,'02_品质等级'!$A$2:$A$6,0))</f>
        <v/>
      </c>
      <c r="I581" s="3">
        <f>INDEX('02_品质等级'!$H$2:$H$6,MATCH(C581,'02_品质等级'!$A$2:$A$6,0))</f>
        <v/>
      </c>
      <c r="J581" s="3">
        <f>E581*F581*G581*H581</f>
        <v/>
      </c>
      <c r="K581" s="3">
        <f>E581*F581*G581*I581</f>
        <v/>
      </c>
    </row>
    <row r="582">
      <c r="A582" s="2" t="inlineStr">
        <is>
          <t>技能冷却等级</t>
        </is>
      </c>
      <c r="B582" s="2" t="inlineStr">
        <is>
          <t>固定值</t>
        </is>
      </c>
      <c r="C582" s="2" t="inlineStr">
        <is>
          <t>金</t>
        </is>
      </c>
      <c r="D582" s="2" t="n">
        <v>25</v>
      </c>
      <c r="E582" s="3">
        <f>INDEX('05_副属性基础'!$C$2:$C$11,MATCH(A582,'05_副属性基础'!$A$2:$A$11,0))</f>
        <v/>
      </c>
      <c r="F582" s="3">
        <f>INDEX('02_品质等级'!$D$2:$D$6,MATCH(C582,'02_品质等级'!$A$2:$A$6,0))</f>
        <v/>
      </c>
      <c r="G582" s="3">
        <f>INDEX('05_副属性基础'!$I$2:$I$13,MATCH(D582,'05_副属性基础'!$G$2:$G$13,0))</f>
        <v/>
      </c>
      <c r="H582" s="3">
        <f>INDEX('02_品质等级'!$G$2:$G$6,MATCH(C582,'02_品质等级'!$A$2:$A$6,0))</f>
        <v/>
      </c>
      <c r="I582" s="3">
        <f>INDEX('02_品质等级'!$H$2:$H$6,MATCH(C582,'02_品质等级'!$A$2:$A$6,0))</f>
        <v/>
      </c>
      <c r="J582" s="3">
        <f>E582*F582*G582*H582</f>
        <v/>
      </c>
      <c r="K582" s="3">
        <f>E582*F582*G582*I582</f>
        <v/>
      </c>
    </row>
    <row r="583">
      <c r="A583" s="2" t="inlineStr">
        <is>
          <t>技能冷却等级</t>
        </is>
      </c>
      <c r="B583" s="2" t="inlineStr">
        <is>
          <t>固定值</t>
        </is>
      </c>
      <c r="C583" s="2" t="inlineStr">
        <is>
          <t>金</t>
        </is>
      </c>
      <c r="D583" s="2" t="n">
        <v>30</v>
      </c>
      <c r="E583" s="3">
        <f>INDEX('05_副属性基础'!$C$2:$C$11,MATCH(A583,'05_副属性基础'!$A$2:$A$11,0))</f>
        <v/>
      </c>
      <c r="F583" s="3">
        <f>INDEX('02_品质等级'!$D$2:$D$6,MATCH(C583,'02_品质等级'!$A$2:$A$6,0))</f>
        <v/>
      </c>
      <c r="G583" s="3">
        <f>INDEX('05_副属性基础'!$I$2:$I$13,MATCH(D583,'05_副属性基础'!$G$2:$G$13,0))</f>
        <v/>
      </c>
      <c r="H583" s="3">
        <f>INDEX('02_品质等级'!$G$2:$G$6,MATCH(C583,'02_品质等级'!$A$2:$A$6,0))</f>
        <v/>
      </c>
      <c r="I583" s="3">
        <f>INDEX('02_品质等级'!$H$2:$H$6,MATCH(C583,'02_品质等级'!$A$2:$A$6,0))</f>
        <v/>
      </c>
      <c r="J583" s="3">
        <f>E583*F583*G583*H583</f>
        <v/>
      </c>
      <c r="K583" s="3">
        <f>E583*F583*G583*I583</f>
        <v/>
      </c>
    </row>
    <row r="584">
      <c r="A584" s="2" t="inlineStr">
        <is>
          <t>技能冷却等级</t>
        </is>
      </c>
      <c r="B584" s="2" t="inlineStr">
        <is>
          <t>固定值</t>
        </is>
      </c>
      <c r="C584" s="2" t="inlineStr">
        <is>
          <t>金</t>
        </is>
      </c>
      <c r="D584" s="2" t="n">
        <v>35</v>
      </c>
      <c r="E584" s="3">
        <f>INDEX('05_副属性基础'!$C$2:$C$11,MATCH(A584,'05_副属性基础'!$A$2:$A$11,0))</f>
        <v/>
      </c>
      <c r="F584" s="3">
        <f>INDEX('02_品质等级'!$D$2:$D$6,MATCH(C584,'02_品质等级'!$A$2:$A$6,0))</f>
        <v/>
      </c>
      <c r="G584" s="3">
        <f>INDEX('05_副属性基础'!$I$2:$I$13,MATCH(D584,'05_副属性基础'!$G$2:$G$13,0))</f>
        <v/>
      </c>
      <c r="H584" s="3">
        <f>INDEX('02_品质等级'!$G$2:$G$6,MATCH(C584,'02_品质等级'!$A$2:$A$6,0))</f>
        <v/>
      </c>
      <c r="I584" s="3">
        <f>INDEX('02_品质等级'!$H$2:$H$6,MATCH(C584,'02_品质等级'!$A$2:$A$6,0))</f>
        <v/>
      </c>
      <c r="J584" s="3">
        <f>E584*F584*G584*H584</f>
        <v/>
      </c>
      <c r="K584" s="3">
        <f>E584*F584*G584*I584</f>
        <v/>
      </c>
    </row>
    <row r="585">
      <c r="A585" s="2" t="inlineStr">
        <is>
          <t>技能冷却等级</t>
        </is>
      </c>
      <c r="B585" s="2" t="inlineStr">
        <is>
          <t>固定值</t>
        </is>
      </c>
      <c r="C585" s="2" t="inlineStr">
        <is>
          <t>金</t>
        </is>
      </c>
      <c r="D585" s="2" t="n">
        <v>40</v>
      </c>
      <c r="E585" s="3">
        <f>INDEX('05_副属性基础'!$C$2:$C$11,MATCH(A585,'05_副属性基础'!$A$2:$A$11,0))</f>
        <v/>
      </c>
      <c r="F585" s="3">
        <f>INDEX('02_品质等级'!$D$2:$D$6,MATCH(C585,'02_品质等级'!$A$2:$A$6,0))</f>
        <v/>
      </c>
      <c r="G585" s="3">
        <f>INDEX('05_副属性基础'!$I$2:$I$13,MATCH(D585,'05_副属性基础'!$G$2:$G$13,0))</f>
        <v/>
      </c>
      <c r="H585" s="3">
        <f>INDEX('02_品质等级'!$G$2:$G$6,MATCH(C585,'02_品质等级'!$A$2:$A$6,0))</f>
        <v/>
      </c>
      <c r="I585" s="3">
        <f>INDEX('02_品质等级'!$H$2:$H$6,MATCH(C585,'02_品质等级'!$A$2:$A$6,0))</f>
        <v/>
      </c>
      <c r="J585" s="3">
        <f>E585*F585*G585*H585</f>
        <v/>
      </c>
      <c r="K585" s="3">
        <f>E585*F585*G585*I585</f>
        <v/>
      </c>
    </row>
    <row r="586">
      <c r="A586" s="2" t="inlineStr">
        <is>
          <t>技能冷却等级</t>
        </is>
      </c>
      <c r="B586" s="2" t="inlineStr">
        <is>
          <t>固定值</t>
        </is>
      </c>
      <c r="C586" s="2" t="inlineStr">
        <is>
          <t>金</t>
        </is>
      </c>
      <c r="D586" s="2" t="n">
        <v>45</v>
      </c>
      <c r="E586" s="3">
        <f>INDEX('05_副属性基础'!$C$2:$C$11,MATCH(A586,'05_副属性基础'!$A$2:$A$11,0))</f>
        <v/>
      </c>
      <c r="F586" s="3">
        <f>INDEX('02_品质等级'!$D$2:$D$6,MATCH(C586,'02_品质等级'!$A$2:$A$6,0))</f>
        <v/>
      </c>
      <c r="G586" s="3">
        <f>INDEX('05_副属性基础'!$I$2:$I$13,MATCH(D586,'05_副属性基础'!$G$2:$G$13,0))</f>
        <v/>
      </c>
      <c r="H586" s="3">
        <f>INDEX('02_品质等级'!$G$2:$G$6,MATCH(C586,'02_品质等级'!$A$2:$A$6,0))</f>
        <v/>
      </c>
      <c r="I586" s="3">
        <f>INDEX('02_品质等级'!$H$2:$H$6,MATCH(C586,'02_品质等级'!$A$2:$A$6,0))</f>
        <v/>
      </c>
      <c r="J586" s="3">
        <f>E586*F586*G586*H586</f>
        <v/>
      </c>
      <c r="K586" s="3">
        <f>E586*F586*G586*I586</f>
        <v/>
      </c>
    </row>
    <row r="587">
      <c r="A587" s="2" t="inlineStr">
        <is>
          <t>技能冷却等级</t>
        </is>
      </c>
      <c r="B587" s="2" t="inlineStr">
        <is>
          <t>固定值</t>
        </is>
      </c>
      <c r="C587" s="2" t="inlineStr">
        <is>
          <t>金</t>
        </is>
      </c>
      <c r="D587" s="2" t="n">
        <v>50</v>
      </c>
      <c r="E587" s="3">
        <f>INDEX('05_副属性基础'!$C$2:$C$11,MATCH(A587,'05_副属性基础'!$A$2:$A$11,0))</f>
        <v/>
      </c>
      <c r="F587" s="3">
        <f>INDEX('02_品质等级'!$D$2:$D$6,MATCH(C587,'02_品质等级'!$A$2:$A$6,0))</f>
        <v/>
      </c>
      <c r="G587" s="3">
        <f>INDEX('05_副属性基础'!$I$2:$I$13,MATCH(D587,'05_副属性基础'!$G$2:$G$13,0))</f>
        <v/>
      </c>
      <c r="H587" s="3">
        <f>INDEX('02_品质等级'!$G$2:$G$6,MATCH(C587,'02_品质等级'!$A$2:$A$6,0))</f>
        <v/>
      </c>
      <c r="I587" s="3">
        <f>INDEX('02_品质等级'!$H$2:$H$6,MATCH(C587,'02_品质等级'!$A$2:$A$6,0))</f>
        <v/>
      </c>
      <c r="J587" s="3">
        <f>E587*F587*G587*H587</f>
        <v/>
      </c>
      <c r="K587" s="3">
        <f>E587*F587*G587*I587</f>
        <v/>
      </c>
    </row>
    <row r="588">
      <c r="A588" s="2" t="inlineStr">
        <is>
          <t>技能冷却等级</t>
        </is>
      </c>
      <c r="B588" s="2" t="inlineStr">
        <is>
          <t>固定值</t>
        </is>
      </c>
      <c r="C588" s="2" t="inlineStr">
        <is>
          <t>金</t>
        </is>
      </c>
      <c r="D588" s="2" t="n">
        <v>55</v>
      </c>
      <c r="E588" s="3">
        <f>INDEX('05_副属性基础'!$C$2:$C$11,MATCH(A588,'05_副属性基础'!$A$2:$A$11,0))</f>
        <v/>
      </c>
      <c r="F588" s="3">
        <f>INDEX('02_品质等级'!$D$2:$D$6,MATCH(C588,'02_品质等级'!$A$2:$A$6,0))</f>
        <v/>
      </c>
      <c r="G588" s="3">
        <f>INDEX('05_副属性基础'!$I$2:$I$13,MATCH(D588,'05_副属性基础'!$G$2:$G$13,0))</f>
        <v/>
      </c>
      <c r="H588" s="3">
        <f>INDEX('02_品质等级'!$G$2:$G$6,MATCH(C588,'02_品质等级'!$A$2:$A$6,0))</f>
        <v/>
      </c>
      <c r="I588" s="3">
        <f>INDEX('02_品质等级'!$H$2:$H$6,MATCH(C588,'02_品质等级'!$A$2:$A$6,0))</f>
        <v/>
      </c>
      <c r="J588" s="3">
        <f>E588*F588*G588*H588</f>
        <v/>
      </c>
      <c r="K588" s="3">
        <f>E588*F588*G588*I588</f>
        <v/>
      </c>
    </row>
    <row r="589">
      <c r="A589" s="2" t="inlineStr">
        <is>
          <t>技能冷却等级</t>
        </is>
      </c>
      <c r="B589" s="2" t="inlineStr">
        <is>
          <t>固定值</t>
        </is>
      </c>
      <c r="C589" s="2" t="inlineStr">
        <is>
          <t>金</t>
        </is>
      </c>
      <c r="D589" s="2" t="n">
        <v>60</v>
      </c>
      <c r="E589" s="3">
        <f>INDEX('05_副属性基础'!$C$2:$C$11,MATCH(A589,'05_副属性基础'!$A$2:$A$11,0))</f>
        <v/>
      </c>
      <c r="F589" s="3">
        <f>INDEX('02_品质等级'!$D$2:$D$6,MATCH(C589,'02_品质等级'!$A$2:$A$6,0))</f>
        <v/>
      </c>
      <c r="G589" s="3">
        <f>INDEX('05_副属性基础'!$I$2:$I$13,MATCH(D589,'05_副属性基础'!$G$2:$G$13,0))</f>
        <v/>
      </c>
      <c r="H589" s="3">
        <f>INDEX('02_品质等级'!$G$2:$G$6,MATCH(C589,'02_品质等级'!$A$2:$A$6,0))</f>
        <v/>
      </c>
      <c r="I589" s="3">
        <f>INDEX('02_品质等级'!$H$2:$H$6,MATCH(C589,'02_品质等级'!$A$2:$A$6,0))</f>
        <v/>
      </c>
      <c r="J589" s="3">
        <f>E589*F589*G589*H589</f>
        <v/>
      </c>
      <c r="K589" s="3">
        <f>E589*F589*G589*I589</f>
        <v/>
      </c>
    </row>
    <row r="590">
      <c r="A590" s="2" t="inlineStr">
        <is>
          <t>技能冷却等级</t>
        </is>
      </c>
      <c r="B590" s="2" t="inlineStr">
        <is>
          <t>固定值</t>
        </is>
      </c>
      <c r="C590" s="2" t="inlineStr">
        <is>
          <t>红</t>
        </is>
      </c>
      <c r="D590" s="2" t="n">
        <v>5</v>
      </c>
      <c r="E590" s="3">
        <f>INDEX('05_副属性基础'!$C$2:$C$11,MATCH(A590,'05_副属性基础'!$A$2:$A$11,0))</f>
        <v/>
      </c>
      <c r="F590" s="3">
        <f>INDEX('02_品质等级'!$D$2:$D$6,MATCH(C590,'02_品质等级'!$A$2:$A$6,0))</f>
        <v/>
      </c>
      <c r="G590" s="3">
        <f>INDEX('05_副属性基础'!$I$2:$I$13,MATCH(D590,'05_副属性基础'!$G$2:$G$13,0))</f>
        <v/>
      </c>
      <c r="H590" s="3">
        <f>INDEX('02_品质等级'!$G$2:$G$6,MATCH(C590,'02_品质等级'!$A$2:$A$6,0))</f>
        <v/>
      </c>
      <c r="I590" s="3">
        <f>INDEX('02_品质等级'!$H$2:$H$6,MATCH(C590,'02_品质等级'!$A$2:$A$6,0))</f>
        <v/>
      </c>
      <c r="J590" s="3">
        <f>E590*F590*G590*H590</f>
        <v/>
      </c>
      <c r="K590" s="3">
        <f>E590*F590*G590*I590</f>
        <v/>
      </c>
    </row>
    <row r="591">
      <c r="A591" s="2" t="inlineStr">
        <is>
          <t>技能冷却等级</t>
        </is>
      </c>
      <c r="B591" s="2" t="inlineStr">
        <is>
          <t>固定值</t>
        </is>
      </c>
      <c r="C591" s="2" t="inlineStr">
        <is>
          <t>红</t>
        </is>
      </c>
      <c r="D591" s="2" t="n">
        <v>10</v>
      </c>
      <c r="E591" s="3">
        <f>INDEX('05_副属性基础'!$C$2:$C$11,MATCH(A591,'05_副属性基础'!$A$2:$A$11,0))</f>
        <v/>
      </c>
      <c r="F591" s="3">
        <f>INDEX('02_品质等级'!$D$2:$D$6,MATCH(C591,'02_品质等级'!$A$2:$A$6,0))</f>
        <v/>
      </c>
      <c r="G591" s="3">
        <f>INDEX('05_副属性基础'!$I$2:$I$13,MATCH(D591,'05_副属性基础'!$G$2:$G$13,0))</f>
        <v/>
      </c>
      <c r="H591" s="3">
        <f>INDEX('02_品质等级'!$G$2:$G$6,MATCH(C591,'02_品质等级'!$A$2:$A$6,0))</f>
        <v/>
      </c>
      <c r="I591" s="3">
        <f>INDEX('02_品质等级'!$H$2:$H$6,MATCH(C591,'02_品质等级'!$A$2:$A$6,0))</f>
        <v/>
      </c>
      <c r="J591" s="3">
        <f>E591*F591*G591*H591</f>
        <v/>
      </c>
      <c r="K591" s="3">
        <f>E591*F591*G591*I591</f>
        <v/>
      </c>
    </row>
    <row r="592">
      <c r="A592" s="2" t="inlineStr">
        <is>
          <t>技能冷却等级</t>
        </is>
      </c>
      <c r="B592" s="2" t="inlineStr">
        <is>
          <t>固定值</t>
        </is>
      </c>
      <c r="C592" s="2" t="inlineStr">
        <is>
          <t>红</t>
        </is>
      </c>
      <c r="D592" s="2" t="n">
        <v>15</v>
      </c>
      <c r="E592" s="3">
        <f>INDEX('05_副属性基础'!$C$2:$C$11,MATCH(A592,'05_副属性基础'!$A$2:$A$11,0))</f>
        <v/>
      </c>
      <c r="F592" s="3">
        <f>INDEX('02_品质等级'!$D$2:$D$6,MATCH(C592,'02_品质等级'!$A$2:$A$6,0))</f>
        <v/>
      </c>
      <c r="G592" s="3">
        <f>INDEX('05_副属性基础'!$I$2:$I$13,MATCH(D592,'05_副属性基础'!$G$2:$G$13,0))</f>
        <v/>
      </c>
      <c r="H592" s="3">
        <f>INDEX('02_品质等级'!$G$2:$G$6,MATCH(C592,'02_品质等级'!$A$2:$A$6,0))</f>
        <v/>
      </c>
      <c r="I592" s="3">
        <f>INDEX('02_品质等级'!$H$2:$H$6,MATCH(C592,'02_品质等级'!$A$2:$A$6,0))</f>
        <v/>
      </c>
      <c r="J592" s="3">
        <f>E592*F592*G592*H592</f>
        <v/>
      </c>
      <c r="K592" s="3">
        <f>E592*F592*G592*I592</f>
        <v/>
      </c>
    </row>
    <row r="593">
      <c r="A593" s="2" t="inlineStr">
        <is>
          <t>技能冷却等级</t>
        </is>
      </c>
      <c r="B593" s="2" t="inlineStr">
        <is>
          <t>固定值</t>
        </is>
      </c>
      <c r="C593" s="2" t="inlineStr">
        <is>
          <t>红</t>
        </is>
      </c>
      <c r="D593" s="2" t="n">
        <v>20</v>
      </c>
      <c r="E593" s="3">
        <f>INDEX('05_副属性基础'!$C$2:$C$11,MATCH(A593,'05_副属性基础'!$A$2:$A$11,0))</f>
        <v/>
      </c>
      <c r="F593" s="3">
        <f>INDEX('02_品质等级'!$D$2:$D$6,MATCH(C593,'02_品质等级'!$A$2:$A$6,0))</f>
        <v/>
      </c>
      <c r="G593" s="3">
        <f>INDEX('05_副属性基础'!$I$2:$I$13,MATCH(D593,'05_副属性基础'!$G$2:$G$13,0))</f>
        <v/>
      </c>
      <c r="H593" s="3">
        <f>INDEX('02_品质等级'!$G$2:$G$6,MATCH(C593,'02_品质等级'!$A$2:$A$6,0))</f>
        <v/>
      </c>
      <c r="I593" s="3">
        <f>INDEX('02_品质等级'!$H$2:$H$6,MATCH(C593,'02_品质等级'!$A$2:$A$6,0))</f>
        <v/>
      </c>
      <c r="J593" s="3">
        <f>E593*F593*G593*H593</f>
        <v/>
      </c>
      <c r="K593" s="3">
        <f>E593*F593*G593*I593</f>
        <v/>
      </c>
    </row>
    <row r="594">
      <c r="A594" s="2" t="inlineStr">
        <is>
          <t>技能冷却等级</t>
        </is>
      </c>
      <c r="B594" s="2" t="inlineStr">
        <is>
          <t>固定值</t>
        </is>
      </c>
      <c r="C594" s="2" t="inlineStr">
        <is>
          <t>红</t>
        </is>
      </c>
      <c r="D594" s="2" t="n">
        <v>25</v>
      </c>
      <c r="E594" s="3">
        <f>INDEX('05_副属性基础'!$C$2:$C$11,MATCH(A594,'05_副属性基础'!$A$2:$A$11,0))</f>
        <v/>
      </c>
      <c r="F594" s="3">
        <f>INDEX('02_品质等级'!$D$2:$D$6,MATCH(C594,'02_品质等级'!$A$2:$A$6,0))</f>
        <v/>
      </c>
      <c r="G594" s="3">
        <f>INDEX('05_副属性基础'!$I$2:$I$13,MATCH(D594,'05_副属性基础'!$G$2:$G$13,0))</f>
        <v/>
      </c>
      <c r="H594" s="3">
        <f>INDEX('02_品质等级'!$G$2:$G$6,MATCH(C594,'02_品质等级'!$A$2:$A$6,0))</f>
        <v/>
      </c>
      <c r="I594" s="3">
        <f>INDEX('02_品质等级'!$H$2:$H$6,MATCH(C594,'02_品质等级'!$A$2:$A$6,0))</f>
        <v/>
      </c>
      <c r="J594" s="3">
        <f>E594*F594*G594*H594</f>
        <v/>
      </c>
      <c r="K594" s="3">
        <f>E594*F594*G594*I594</f>
        <v/>
      </c>
    </row>
    <row r="595">
      <c r="A595" s="2" t="inlineStr">
        <is>
          <t>技能冷却等级</t>
        </is>
      </c>
      <c r="B595" s="2" t="inlineStr">
        <is>
          <t>固定值</t>
        </is>
      </c>
      <c r="C595" s="2" t="inlineStr">
        <is>
          <t>红</t>
        </is>
      </c>
      <c r="D595" s="2" t="n">
        <v>30</v>
      </c>
      <c r="E595" s="3">
        <f>INDEX('05_副属性基础'!$C$2:$C$11,MATCH(A595,'05_副属性基础'!$A$2:$A$11,0))</f>
        <v/>
      </c>
      <c r="F595" s="3">
        <f>INDEX('02_品质等级'!$D$2:$D$6,MATCH(C595,'02_品质等级'!$A$2:$A$6,0))</f>
        <v/>
      </c>
      <c r="G595" s="3">
        <f>INDEX('05_副属性基础'!$I$2:$I$13,MATCH(D595,'05_副属性基础'!$G$2:$G$13,0))</f>
        <v/>
      </c>
      <c r="H595" s="3">
        <f>INDEX('02_品质等级'!$G$2:$G$6,MATCH(C595,'02_品质等级'!$A$2:$A$6,0))</f>
        <v/>
      </c>
      <c r="I595" s="3">
        <f>INDEX('02_品质等级'!$H$2:$H$6,MATCH(C595,'02_品质等级'!$A$2:$A$6,0))</f>
        <v/>
      </c>
      <c r="J595" s="3">
        <f>E595*F595*G595*H595</f>
        <v/>
      </c>
      <c r="K595" s="3">
        <f>E595*F595*G595*I595</f>
        <v/>
      </c>
    </row>
    <row r="596">
      <c r="A596" s="2" t="inlineStr">
        <is>
          <t>技能冷却等级</t>
        </is>
      </c>
      <c r="B596" s="2" t="inlineStr">
        <is>
          <t>固定值</t>
        </is>
      </c>
      <c r="C596" s="2" t="inlineStr">
        <is>
          <t>红</t>
        </is>
      </c>
      <c r="D596" s="2" t="n">
        <v>35</v>
      </c>
      <c r="E596" s="3">
        <f>INDEX('05_副属性基础'!$C$2:$C$11,MATCH(A596,'05_副属性基础'!$A$2:$A$11,0))</f>
        <v/>
      </c>
      <c r="F596" s="3">
        <f>INDEX('02_品质等级'!$D$2:$D$6,MATCH(C596,'02_品质等级'!$A$2:$A$6,0))</f>
        <v/>
      </c>
      <c r="G596" s="3">
        <f>INDEX('05_副属性基础'!$I$2:$I$13,MATCH(D596,'05_副属性基础'!$G$2:$G$13,0))</f>
        <v/>
      </c>
      <c r="H596" s="3">
        <f>INDEX('02_品质等级'!$G$2:$G$6,MATCH(C596,'02_品质等级'!$A$2:$A$6,0))</f>
        <v/>
      </c>
      <c r="I596" s="3">
        <f>INDEX('02_品质等级'!$H$2:$H$6,MATCH(C596,'02_品质等级'!$A$2:$A$6,0))</f>
        <v/>
      </c>
      <c r="J596" s="3">
        <f>E596*F596*G596*H596</f>
        <v/>
      </c>
      <c r="K596" s="3">
        <f>E596*F596*G596*I596</f>
        <v/>
      </c>
    </row>
    <row r="597">
      <c r="A597" s="2" t="inlineStr">
        <is>
          <t>技能冷却等级</t>
        </is>
      </c>
      <c r="B597" s="2" t="inlineStr">
        <is>
          <t>固定值</t>
        </is>
      </c>
      <c r="C597" s="2" t="inlineStr">
        <is>
          <t>红</t>
        </is>
      </c>
      <c r="D597" s="2" t="n">
        <v>40</v>
      </c>
      <c r="E597" s="3">
        <f>INDEX('05_副属性基础'!$C$2:$C$11,MATCH(A597,'05_副属性基础'!$A$2:$A$11,0))</f>
        <v/>
      </c>
      <c r="F597" s="3">
        <f>INDEX('02_品质等级'!$D$2:$D$6,MATCH(C597,'02_品质等级'!$A$2:$A$6,0))</f>
        <v/>
      </c>
      <c r="G597" s="3">
        <f>INDEX('05_副属性基础'!$I$2:$I$13,MATCH(D597,'05_副属性基础'!$G$2:$G$13,0))</f>
        <v/>
      </c>
      <c r="H597" s="3">
        <f>INDEX('02_品质等级'!$G$2:$G$6,MATCH(C597,'02_品质等级'!$A$2:$A$6,0))</f>
        <v/>
      </c>
      <c r="I597" s="3">
        <f>INDEX('02_品质等级'!$H$2:$H$6,MATCH(C597,'02_品质等级'!$A$2:$A$6,0))</f>
        <v/>
      </c>
      <c r="J597" s="3">
        <f>E597*F597*G597*H597</f>
        <v/>
      </c>
      <c r="K597" s="3">
        <f>E597*F597*G597*I597</f>
        <v/>
      </c>
    </row>
    <row r="598">
      <c r="A598" s="2" t="inlineStr">
        <is>
          <t>技能冷却等级</t>
        </is>
      </c>
      <c r="B598" s="2" t="inlineStr">
        <is>
          <t>固定值</t>
        </is>
      </c>
      <c r="C598" s="2" t="inlineStr">
        <is>
          <t>红</t>
        </is>
      </c>
      <c r="D598" s="2" t="n">
        <v>45</v>
      </c>
      <c r="E598" s="3">
        <f>INDEX('05_副属性基础'!$C$2:$C$11,MATCH(A598,'05_副属性基础'!$A$2:$A$11,0))</f>
        <v/>
      </c>
      <c r="F598" s="3">
        <f>INDEX('02_品质等级'!$D$2:$D$6,MATCH(C598,'02_品质等级'!$A$2:$A$6,0))</f>
        <v/>
      </c>
      <c r="G598" s="3">
        <f>INDEX('05_副属性基础'!$I$2:$I$13,MATCH(D598,'05_副属性基础'!$G$2:$G$13,0))</f>
        <v/>
      </c>
      <c r="H598" s="3">
        <f>INDEX('02_品质等级'!$G$2:$G$6,MATCH(C598,'02_品质等级'!$A$2:$A$6,0))</f>
        <v/>
      </c>
      <c r="I598" s="3">
        <f>INDEX('02_品质等级'!$H$2:$H$6,MATCH(C598,'02_品质等级'!$A$2:$A$6,0))</f>
        <v/>
      </c>
      <c r="J598" s="3">
        <f>E598*F598*G598*H598</f>
        <v/>
      </c>
      <c r="K598" s="3">
        <f>E598*F598*G598*I598</f>
        <v/>
      </c>
    </row>
    <row r="599">
      <c r="A599" s="2" t="inlineStr">
        <is>
          <t>技能冷却等级</t>
        </is>
      </c>
      <c r="B599" s="2" t="inlineStr">
        <is>
          <t>固定值</t>
        </is>
      </c>
      <c r="C599" s="2" t="inlineStr">
        <is>
          <t>红</t>
        </is>
      </c>
      <c r="D599" s="2" t="n">
        <v>50</v>
      </c>
      <c r="E599" s="3">
        <f>INDEX('05_副属性基础'!$C$2:$C$11,MATCH(A599,'05_副属性基础'!$A$2:$A$11,0))</f>
        <v/>
      </c>
      <c r="F599" s="3">
        <f>INDEX('02_品质等级'!$D$2:$D$6,MATCH(C599,'02_品质等级'!$A$2:$A$6,0))</f>
        <v/>
      </c>
      <c r="G599" s="3">
        <f>INDEX('05_副属性基础'!$I$2:$I$13,MATCH(D599,'05_副属性基础'!$G$2:$G$13,0))</f>
        <v/>
      </c>
      <c r="H599" s="3">
        <f>INDEX('02_品质等级'!$G$2:$G$6,MATCH(C599,'02_品质等级'!$A$2:$A$6,0))</f>
        <v/>
      </c>
      <c r="I599" s="3">
        <f>INDEX('02_品质等级'!$H$2:$H$6,MATCH(C599,'02_品质等级'!$A$2:$A$6,0))</f>
        <v/>
      </c>
      <c r="J599" s="3">
        <f>E599*F599*G599*H599</f>
        <v/>
      </c>
      <c r="K599" s="3">
        <f>E599*F599*G599*I599</f>
        <v/>
      </c>
    </row>
    <row r="600">
      <c r="A600" s="2" t="inlineStr">
        <is>
          <t>技能冷却等级</t>
        </is>
      </c>
      <c r="B600" s="2" t="inlineStr">
        <is>
          <t>固定值</t>
        </is>
      </c>
      <c r="C600" s="2" t="inlineStr">
        <is>
          <t>红</t>
        </is>
      </c>
      <c r="D600" s="2" t="n">
        <v>55</v>
      </c>
      <c r="E600" s="3">
        <f>INDEX('05_副属性基础'!$C$2:$C$11,MATCH(A600,'05_副属性基础'!$A$2:$A$11,0))</f>
        <v/>
      </c>
      <c r="F600" s="3">
        <f>INDEX('02_品质等级'!$D$2:$D$6,MATCH(C600,'02_品质等级'!$A$2:$A$6,0))</f>
        <v/>
      </c>
      <c r="G600" s="3">
        <f>INDEX('05_副属性基础'!$I$2:$I$13,MATCH(D600,'05_副属性基础'!$G$2:$G$13,0))</f>
        <v/>
      </c>
      <c r="H600" s="3">
        <f>INDEX('02_品质等级'!$G$2:$G$6,MATCH(C600,'02_品质等级'!$A$2:$A$6,0))</f>
        <v/>
      </c>
      <c r="I600" s="3">
        <f>INDEX('02_品质等级'!$H$2:$H$6,MATCH(C600,'02_品质等级'!$A$2:$A$6,0))</f>
        <v/>
      </c>
      <c r="J600" s="3">
        <f>E600*F600*G600*H600</f>
        <v/>
      </c>
      <c r="K600" s="3">
        <f>E600*F600*G600*I600</f>
        <v/>
      </c>
    </row>
    <row r="601">
      <c r="A601" s="2" t="inlineStr">
        <is>
          <t>技能冷却等级</t>
        </is>
      </c>
      <c r="B601" s="2" t="inlineStr">
        <is>
          <t>固定值</t>
        </is>
      </c>
      <c r="C601" s="2" t="inlineStr">
        <is>
          <t>红</t>
        </is>
      </c>
      <c r="D601" s="2" t="n">
        <v>60</v>
      </c>
      <c r="E601" s="3">
        <f>INDEX('05_副属性基础'!$C$2:$C$11,MATCH(A601,'05_副属性基础'!$A$2:$A$11,0))</f>
        <v/>
      </c>
      <c r="F601" s="3">
        <f>INDEX('02_品质等级'!$D$2:$D$6,MATCH(C601,'02_品质等级'!$A$2:$A$6,0))</f>
        <v/>
      </c>
      <c r="G601" s="3">
        <f>INDEX('05_副属性基础'!$I$2:$I$13,MATCH(D601,'05_副属性基础'!$G$2:$G$13,0))</f>
        <v/>
      </c>
      <c r="H601" s="3">
        <f>INDEX('02_品质等级'!$G$2:$G$6,MATCH(C601,'02_品质等级'!$A$2:$A$6,0))</f>
        <v/>
      </c>
      <c r="I601" s="3">
        <f>INDEX('02_品质等级'!$H$2:$H$6,MATCH(C601,'02_品质等级'!$A$2:$A$6,0))</f>
        <v/>
      </c>
      <c r="J601" s="3">
        <f>E601*F601*G601*H601</f>
        <v/>
      </c>
      <c r="K601" s="3">
        <f>E601*F601*G601*I601</f>
        <v/>
      </c>
    </row>
  </sheetData>
  <autoFilter ref="A1:K60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1" customWidth="1" min="8" max="8"/>
    <col width="22" customWidth="1" min="9" max="9"/>
    <col width="22" customWidth="1" min="10" max="10"/>
    <col width="26" customWidth="1" min="11" max="11"/>
  </cols>
  <sheetData>
    <row r="1">
      <c r="A1" s="1" t="inlineStr">
        <is>
          <t>层</t>
        </is>
      </c>
      <c r="B1" s="1" t="inlineStr">
        <is>
          <t>消耗</t>
        </is>
      </c>
      <c r="C1" s="1" t="inlineStr">
        <is>
          <t>固定宝箱</t>
        </is>
      </c>
      <c r="D1" s="1" t="inlineStr">
        <is>
          <t>额外宝箱概率</t>
        </is>
      </c>
      <c r="E1" s="1" t="inlineStr">
        <is>
          <t>期望宝箱</t>
        </is>
      </c>
      <c r="F1" s="1" t="inlineStr">
        <is>
          <t>绿宝箱概率</t>
        </is>
      </c>
      <c r="G1" s="1" t="inlineStr">
        <is>
          <t>蓝宝箱概率</t>
        </is>
      </c>
      <c r="H1" s="1" t="inlineStr">
        <is>
          <t>紫宝箱概率</t>
        </is>
      </c>
      <c r="I1" s="1" t="inlineStr">
        <is>
          <t>金宝箱概率</t>
        </is>
      </c>
      <c r="J1" s="1" t="inlineStr">
        <is>
          <t>红宝箱概率</t>
        </is>
      </c>
      <c r="K1" s="1" t="inlineStr">
        <is>
          <t>装备等级池</t>
        </is>
      </c>
    </row>
    <row r="2">
      <c r="A2" s="2" t="n">
        <v>1</v>
      </c>
      <c r="B2" s="2" t="inlineStr">
        <is>
          <t>钥匙 x1</t>
        </is>
      </c>
      <c r="C2" s="2" t="n">
        <v>3</v>
      </c>
      <c r="D2" s="4" t="n">
        <v>0</v>
      </c>
      <c r="E2" s="5" t="n">
        <v>3</v>
      </c>
      <c r="F2" s="4" t="n">
        <v>0.515</v>
      </c>
      <c r="G2" s="4" t="n">
        <v>0.3</v>
      </c>
      <c r="H2" s="4" t="n">
        <v>0.185</v>
      </c>
      <c r="I2" s="4" t="n">
        <v>0</v>
      </c>
      <c r="J2" s="4" t="n">
        <v>0</v>
      </c>
      <c r="K2" s="2" t="inlineStr">
        <is>
          <t>5:50% / 10:50%</t>
        </is>
      </c>
    </row>
    <row r="3">
      <c r="A3" s="2" t="n">
        <v>2</v>
      </c>
      <c r="B3" s="2" t="inlineStr">
        <is>
          <t>钥匙 x1</t>
        </is>
      </c>
      <c r="C3" s="2" t="n">
        <v>3</v>
      </c>
      <c r="D3" s="4" t="n">
        <v>0.05</v>
      </c>
      <c r="E3" s="5" t="n">
        <v>3.05</v>
      </c>
      <c r="F3" s="4" t="n">
        <v>0.5093</v>
      </c>
      <c r="G3" s="4" t="n">
        <v>0.2993</v>
      </c>
      <c r="H3" s="4" t="n">
        <v>0.1914</v>
      </c>
      <c r="I3" s="4" t="n">
        <v>0</v>
      </c>
      <c r="J3" s="4" t="n">
        <v>0</v>
      </c>
      <c r="K3" s="2" t="inlineStr">
        <is>
          <t>5:25% / 10:50% / 15:25%</t>
        </is>
      </c>
    </row>
    <row r="4">
      <c r="A4" s="2" t="n">
        <v>3</v>
      </c>
      <c r="B4" s="2" t="inlineStr">
        <is>
          <t>钥匙 x1</t>
        </is>
      </c>
      <c r="C4" s="2" t="n">
        <v>3</v>
      </c>
      <c r="D4" s="4" t="n">
        <v>0.1</v>
      </c>
      <c r="E4" s="5" t="n">
        <v>3.1</v>
      </c>
      <c r="F4" s="4" t="n">
        <v>0.5036</v>
      </c>
      <c r="G4" s="4" t="n">
        <v>0.2986</v>
      </c>
      <c r="H4" s="4" t="n">
        <v>0.1978</v>
      </c>
      <c r="I4" s="4" t="n">
        <v>0</v>
      </c>
      <c r="J4" s="4" t="n">
        <v>0</v>
      </c>
      <c r="K4" s="2" t="inlineStr">
        <is>
          <t>10:50% / 15:50%</t>
        </is>
      </c>
    </row>
    <row r="5">
      <c r="A5" s="2" t="n">
        <v>4</v>
      </c>
      <c r="B5" s="2" t="inlineStr">
        <is>
          <t>钥匙 x1</t>
        </is>
      </c>
      <c r="C5" s="2" t="n">
        <v>3</v>
      </c>
      <c r="D5" s="4" t="n">
        <v>0.15</v>
      </c>
      <c r="E5" s="5" t="n">
        <v>3.15</v>
      </c>
      <c r="F5" s="4" t="n">
        <v>0.498</v>
      </c>
      <c r="G5" s="4" t="n">
        <v>0.2979</v>
      </c>
      <c r="H5" s="4" t="n">
        <v>0.2041</v>
      </c>
      <c r="I5" s="4" t="n">
        <v>0</v>
      </c>
      <c r="J5" s="4" t="n">
        <v>0</v>
      </c>
      <c r="K5" s="2" t="inlineStr">
        <is>
          <t>10:25% / 15:50% / 20:25%</t>
        </is>
      </c>
    </row>
    <row r="6">
      <c r="A6" s="2" t="n">
        <v>5</v>
      </c>
      <c r="B6" s="2" t="inlineStr">
        <is>
          <t>钥匙 x1</t>
        </is>
      </c>
      <c r="C6" s="2" t="n">
        <v>3</v>
      </c>
      <c r="D6" s="4" t="n">
        <v>0.2</v>
      </c>
      <c r="E6" s="5" t="n">
        <v>3.2</v>
      </c>
      <c r="F6" s="4" t="n">
        <v>0.4923</v>
      </c>
      <c r="G6" s="4" t="n">
        <v>0.2972</v>
      </c>
      <c r="H6" s="4" t="n">
        <v>0.2105</v>
      </c>
      <c r="I6" s="4" t="n">
        <v>0</v>
      </c>
      <c r="J6" s="4" t="n">
        <v>0</v>
      </c>
      <c r="K6" s="2" t="inlineStr">
        <is>
          <t>15:25% / 20:50% / 25:25%</t>
        </is>
      </c>
    </row>
    <row r="7">
      <c r="A7" s="2" t="n">
        <v>6</v>
      </c>
      <c r="B7" s="2" t="inlineStr">
        <is>
          <t>钥匙 x1</t>
        </is>
      </c>
      <c r="C7" s="2" t="n">
        <v>3</v>
      </c>
      <c r="D7" s="4" t="n">
        <v>0.25</v>
      </c>
      <c r="E7" s="5" t="n">
        <v>3.25</v>
      </c>
      <c r="F7" s="4" t="n">
        <v>0.4865</v>
      </c>
      <c r="G7" s="4" t="n">
        <v>0.2966</v>
      </c>
      <c r="H7" s="4" t="n">
        <v>0.2169</v>
      </c>
      <c r="I7" s="4" t="n">
        <v>0</v>
      </c>
      <c r="J7" s="4" t="n">
        <v>0</v>
      </c>
      <c r="K7" s="2" t="inlineStr">
        <is>
          <t>20:50% / 25:50%</t>
        </is>
      </c>
    </row>
    <row r="8">
      <c r="A8" s="2" t="n">
        <v>7</v>
      </c>
      <c r="B8" s="2" t="inlineStr">
        <is>
          <t>钥匙 x1</t>
        </is>
      </c>
      <c r="C8" s="2" t="n">
        <v>3</v>
      </c>
      <c r="D8" s="4" t="n">
        <v>0.3</v>
      </c>
      <c r="E8" s="5" t="n">
        <v>3.3</v>
      </c>
      <c r="F8" s="4" t="n">
        <v>0.4808</v>
      </c>
      <c r="G8" s="4" t="n">
        <v>0.2959</v>
      </c>
      <c r="H8" s="4" t="n">
        <v>0.2233</v>
      </c>
      <c r="I8" s="4" t="n">
        <v>0</v>
      </c>
      <c r="J8" s="4" t="n">
        <v>0</v>
      </c>
      <c r="K8" s="2" t="inlineStr">
        <is>
          <t>20:25% / 25:50% / 30:25%</t>
        </is>
      </c>
    </row>
    <row r="9">
      <c r="A9" s="2" t="n">
        <v>8</v>
      </c>
      <c r="B9" s="2" t="inlineStr">
        <is>
          <t>钥匙 x1</t>
        </is>
      </c>
      <c r="C9" s="2" t="n">
        <v>3</v>
      </c>
      <c r="D9" s="4" t="n">
        <v>0.35</v>
      </c>
      <c r="E9" s="5" t="n">
        <v>3.35</v>
      </c>
      <c r="F9" s="4" t="n">
        <v>0.4751</v>
      </c>
      <c r="G9" s="4" t="n">
        <v>0.2952</v>
      </c>
      <c r="H9" s="4" t="n">
        <v>0.2297</v>
      </c>
      <c r="I9" s="4" t="n">
        <v>0</v>
      </c>
      <c r="J9" s="4" t="n">
        <v>0</v>
      </c>
      <c r="K9" s="2" t="inlineStr">
        <is>
          <t>25:50% / 30:50%</t>
        </is>
      </c>
    </row>
    <row r="10">
      <c r="A10" s="2" t="n">
        <v>9</v>
      </c>
      <c r="B10" s="2" t="inlineStr">
        <is>
          <t>钥匙 x1</t>
        </is>
      </c>
      <c r="C10" s="2" t="n">
        <v>3</v>
      </c>
      <c r="D10" s="4" t="n">
        <v>0.4</v>
      </c>
      <c r="E10" s="5" t="n">
        <v>3.4</v>
      </c>
      <c r="F10" s="4" t="n">
        <v>0.4695</v>
      </c>
      <c r="G10" s="4" t="n">
        <v>0.2945</v>
      </c>
      <c r="H10" s="4" t="n">
        <v>0.236</v>
      </c>
      <c r="I10" s="4" t="n">
        <v>0</v>
      </c>
      <c r="J10" s="4" t="n">
        <v>0</v>
      </c>
      <c r="K10" s="2" t="inlineStr">
        <is>
          <t>25:25% / 30:50% / 35:25%</t>
        </is>
      </c>
    </row>
    <row r="11">
      <c r="A11" s="2" t="n">
        <v>10</v>
      </c>
      <c r="B11" s="2" t="inlineStr">
        <is>
          <t>钥匙 x1</t>
        </is>
      </c>
      <c r="C11" s="2" t="n">
        <v>3</v>
      </c>
      <c r="D11" s="4" t="n">
        <v>0.45</v>
      </c>
      <c r="E11" s="5" t="n">
        <v>3.45</v>
      </c>
      <c r="F11" s="4" t="n">
        <v>0.4538</v>
      </c>
      <c r="G11" s="4" t="n">
        <v>0.2938</v>
      </c>
      <c r="H11" s="4" t="n">
        <v>0.2424</v>
      </c>
      <c r="I11" s="4" t="n">
        <v>0.01</v>
      </c>
      <c r="J11" s="4" t="n">
        <v>0</v>
      </c>
      <c r="K11" s="2" t="inlineStr">
        <is>
          <t>30:50% / 35:50%</t>
        </is>
      </c>
    </row>
    <row r="12">
      <c r="A12" s="2" t="n">
        <v>11</v>
      </c>
      <c r="B12" s="2" t="inlineStr">
        <is>
          <t>钥匙 x1</t>
        </is>
      </c>
      <c r="C12" s="2" t="n">
        <v>3</v>
      </c>
      <c r="D12" s="4" t="n">
        <v>0.5</v>
      </c>
      <c r="E12" s="5" t="n">
        <v>3.5</v>
      </c>
      <c r="F12" s="4" t="n">
        <v>0.4391</v>
      </c>
      <c r="G12" s="4" t="n">
        <v>0.2931</v>
      </c>
      <c r="H12" s="4" t="n">
        <v>0.2488</v>
      </c>
      <c r="I12" s="4" t="n">
        <v>0.019</v>
      </c>
      <c r="J12" s="4" t="n">
        <v>0</v>
      </c>
      <c r="K12" s="2" t="inlineStr">
        <is>
          <t>30:25% / 35:75%</t>
        </is>
      </c>
    </row>
    <row r="13">
      <c r="A13" s="2" t="n">
        <v>12</v>
      </c>
      <c r="B13" s="2" t="inlineStr">
        <is>
          <t>钥匙 x1</t>
        </is>
      </c>
      <c r="C13" s="2" t="n">
        <v>3</v>
      </c>
      <c r="D13" s="4" t="n">
        <v>0.6</v>
      </c>
      <c r="E13" s="5" t="n">
        <v>3.6</v>
      </c>
      <c r="F13" s="4" t="n">
        <v>0.4244</v>
      </c>
      <c r="G13" s="4" t="n">
        <v>0.2924</v>
      </c>
      <c r="H13" s="4" t="n">
        <v>0.2552</v>
      </c>
      <c r="I13" s="4" t="n">
        <v>0.028</v>
      </c>
      <c r="J13" s="4" t="n">
        <v>0</v>
      </c>
      <c r="K13" s="2" t="inlineStr">
        <is>
          <t>30:25% / 35:50% / 40:25%</t>
        </is>
      </c>
    </row>
    <row r="14">
      <c r="A14" s="2" t="n">
        <v>13</v>
      </c>
      <c r="B14" s="2" t="inlineStr">
        <is>
          <t>钥匙 x1</t>
        </is>
      </c>
      <c r="C14" s="2" t="n">
        <v>3</v>
      </c>
      <c r="D14" s="4" t="n">
        <v>0.7</v>
      </c>
      <c r="E14" s="5" t="n">
        <v>3.7</v>
      </c>
      <c r="F14" s="4" t="n">
        <v>0.4097</v>
      </c>
      <c r="G14" s="4" t="n">
        <v>0.2917</v>
      </c>
      <c r="H14" s="4" t="n">
        <v>0.2616</v>
      </c>
      <c r="I14" s="4" t="n">
        <v>0.03700000000000001</v>
      </c>
      <c r="J14" s="4" t="n">
        <v>0</v>
      </c>
      <c r="K14" s="2" t="inlineStr">
        <is>
          <t>35:75% / 40:25%</t>
        </is>
      </c>
    </row>
    <row r="15">
      <c r="A15" s="2" t="n">
        <v>14</v>
      </c>
      <c r="B15" s="2" t="inlineStr">
        <is>
          <t>钥匙 x1</t>
        </is>
      </c>
      <c r="C15" s="2" t="n">
        <v>3</v>
      </c>
      <c r="D15" s="4" t="n">
        <v>0.8</v>
      </c>
      <c r="E15" s="5" t="n">
        <v>3.8</v>
      </c>
      <c r="F15" s="4" t="n">
        <v>0.3951</v>
      </c>
      <c r="G15" s="4" t="n">
        <v>0.291</v>
      </c>
      <c r="H15" s="4" t="n">
        <v>0.2679</v>
      </c>
      <c r="I15" s="4" t="n">
        <v>0.046</v>
      </c>
      <c r="J15" s="4" t="n">
        <v>0</v>
      </c>
      <c r="K15" s="2" t="inlineStr">
        <is>
          <t>35:50% / 40:50%</t>
        </is>
      </c>
    </row>
    <row r="16">
      <c r="A16" s="2" t="n">
        <v>15</v>
      </c>
      <c r="B16" s="2" t="inlineStr">
        <is>
          <t>钥匙 x1</t>
        </is>
      </c>
      <c r="C16" s="2" t="n">
        <v>3</v>
      </c>
      <c r="D16" s="4" t="n">
        <v>0.9</v>
      </c>
      <c r="E16" s="5" t="n">
        <v>3.9</v>
      </c>
      <c r="F16" s="4" t="n">
        <v>0.3804</v>
      </c>
      <c r="G16" s="4" t="n">
        <v>0.2903</v>
      </c>
      <c r="H16" s="4" t="n">
        <v>0.2743</v>
      </c>
      <c r="I16" s="4" t="n">
        <v>0.055</v>
      </c>
      <c r="J16" s="4" t="n">
        <v>0</v>
      </c>
      <c r="K16" s="2" t="inlineStr">
        <is>
          <t>35:25% / 40:75%</t>
        </is>
      </c>
    </row>
    <row r="17">
      <c r="A17" s="2" t="n">
        <v>16</v>
      </c>
      <c r="B17" s="2" t="inlineStr">
        <is>
          <t>钥匙 x1</t>
        </is>
      </c>
      <c r="C17" s="2" t="n">
        <v>4</v>
      </c>
      <c r="D17" s="4" t="n">
        <v>0</v>
      </c>
      <c r="E17" s="5" t="n">
        <v>4</v>
      </c>
      <c r="F17" s="4" t="n">
        <v>0.3656</v>
      </c>
      <c r="G17" s="4" t="n">
        <v>0.2897</v>
      </c>
      <c r="H17" s="4" t="n">
        <v>0.2807</v>
      </c>
      <c r="I17" s="4" t="n">
        <v>0.064</v>
      </c>
      <c r="J17" s="4" t="n">
        <v>0</v>
      </c>
      <c r="K17" s="2" t="inlineStr">
        <is>
          <t>35:25% / 40:50% / 45:25%</t>
        </is>
      </c>
    </row>
    <row r="18">
      <c r="A18" s="2" t="n">
        <v>17</v>
      </c>
      <c r="B18" s="2" t="inlineStr">
        <is>
          <t>钥匙 x1</t>
        </is>
      </c>
      <c r="C18" s="2" t="n">
        <v>4</v>
      </c>
      <c r="D18" s="4" t="n">
        <v>0.1</v>
      </c>
      <c r="E18" s="5" t="n">
        <v>4.1</v>
      </c>
      <c r="F18" s="4" t="n">
        <v>0.3509</v>
      </c>
      <c r="G18" s="4" t="n">
        <v>0.289</v>
      </c>
      <c r="H18" s="4" t="n">
        <v>0.2871</v>
      </c>
      <c r="I18" s="4" t="n">
        <v>0.073</v>
      </c>
      <c r="J18" s="4" t="n">
        <v>0</v>
      </c>
      <c r="K18" s="2" t="inlineStr">
        <is>
          <t>40:75% / 45:25%</t>
        </is>
      </c>
    </row>
    <row r="19">
      <c r="A19" s="2" t="n">
        <v>18</v>
      </c>
      <c r="B19" s="2" t="inlineStr">
        <is>
          <t>钥匙 x1</t>
        </is>
      </c>
      <c r="C19" s="2" t="n">
        <v>4</v>
      </c>
      <c r="D19" s="4" t="n">
        <v>0.2</v>
      </c>
      <c r="E19" s="5" t="n">
        <v>4.2</v>
      </c>
      <c r="F19" s="4" t="n">
        <v>0.3363</v>
      </c>
      <c r="G19" s="4" t="n">
        <v>0.2883</v>
      </c>
      <c r="H19" s="4" t="n">
        <v>0.2934</v>
      </c>
      <c r="I19" s="4" t="n">
        <v>0.08199999999999999</v>
      </c>
      <c r="J19" s="4" t="n">
        <v>0</v>
      </c>
      <c r="K19" s="2" t="inlineStr">
        <is>
          <t>40:50% / 45:50%</t>
        </is>
      </c>
    </row>
    <row r="20">
      <c r="A20" s="2" t="n">
        <v>19</v>
      </c>
      <c r="B20" s="2" t="inlineStr">
        <is>
          <t>钥匙 x1</t>
        </is>
      </c>
      <c r="C20" s="2" t="n">
        <v>4</v>
      </c>
      <c r="D20" s="4" t="n">
        <v>0.3</v>
      </c>
      <c r="E20" s="5" t="n">
        <v>4.3</v>
      </c>
      <c r="F20" s="4" t="n">
        <v>0.3215999999999999</v>
      </c>
      <c r="G20" s="4" t="n">
        <v>0.2876</v>
      </c>
      <c r="H20" s="4" t="n">
        <v>0.2998</v>
      </c>
      <c r="I20" s="4" t="n">
        <v>0.091</v>
      </c>
      <c r="J20" s="4" t="n">
        <v>0</v>
      </c>
      <c r="K20" s="2" t="inlineStr">
        <is>
          <t>40:25% / 45:75%</t>
        </is>
      </c>
    </row>
    <row r="21">
      <c r="A21" s="2" t="n">
        <v>20</v>
      </c>
      <c r="B21" s="2" t="inlineStr">
        <is>
          <t>钥匙 x1</t>
        </is>
      </c>
      <c r="C21" s="2" t="n">
        <v>4</v>
      </c>
      <c r="D21" s="4" t="n">
        <v>0.4</v>
      </c>
      <c r="E21" s="5" t="n">
        <v>4.4</v>
      </c>
      <c r="F21" s="4" t="n">
        <v>0.3019</v>
      </c>
      <c r="G21" s="4" t="n">
        <v>0.2869</v>
      </c>
      <c r="H21" s="4" t="n">
        <v>0.3062</v>
      </c>
      <c r="I21" s="4" t="n">
        <v>0.1</v>
      </c>
      <c r="J21" s="4" t="n">
        <v>0.005</v>
      </c>
      <c r="K21" s="2" t="inlineStr">
        <is>
          <t>40:25% / 45:50% / 50:25%</t>
        </is>
      </c>
    </row>
    <row r="22">
      <c r="A22" s="2" t="n">
        <v>21</v>
      </c>
      <c r="B22" s="2" t="inlineStr">
        <is>
          <t>钥匙 x1</t>
        </is>
      </c>
      <c r="C22" s="2" t="n">
        <v>4</v>
      </c>
      <c r="D22" s="4" t="n">
        <v>0.5</v>
      </c>
      <c r="E22" s="5" t="n">
        <v>4.5</v>
      </c>
      <c r="F22" s="4" t="n">
        <v>0.2837</v>
      </c>
      <c r="G22" s="4" t="n">
        <v>0.2862</v>
      </c>
      <c r="H22" s="4" t="n">
        <v>0.3126</v>
      </c>
      <c r="I22" s="4" t="n">
        <v>0.109</v>
      </c>
      <c r="J22" s="4" t="n">
        <v>0.008500000000000001</v>
      </c>
      <c r="K22" s="2" t="inlineStr">
        <is>
          <t>45:75% / 50:25%</t>
        </is>
      </c>
    </row>
    <row r="23">
      <c r="A23" s="2" t="n">
        <v>22</v>
      </c>
      <c r="B23" s="2" t="inlineStr">
        <is>
          <t>钥匙 x1</t>
        </is>
      </c>
      <c r="C23" s="2" t="n">
        <v>4</v>
      </c>
      <c r="D23" s="4" t="n">
        <v>0.6</v>
      </c>
      <c r="E23" s="5" t="n">
        <v>4.6</v>
      </c>
      <c r="F23" s="4" t="n">
        <v>0.2655</v>
      </c>
      <c r="G23" s="4" t="n">
        <v>0.2855</v>
      </c>
      <c r="H23" s="4" t="n">
        <v>0.319</v>
      </c>
      <c r="I23" s="4" t="n">
        <v>0.118</v>
      </c>
      <c r="J23" s="4" t="n">
        <v>0.012</v>
      </c>
      <c r="K23" s="2" t="inlineStr">
        <is>
          <t>45:50% / 50:50%</t>
        </is>
      </c>
    </row>
    <row r="24">
      <c r="A24" s="2" t="n">
        <v>23</v>
      </c>
      <c r="B24" s="2" t="inlineStr">
        <is>
          <t>钥匙 x1</t>
        </is>
      </c>
      <c r="C24" s="2" t="n">
        <v>4</v>
      </c>
      <c r="D24" s="4" t="n">
        <v>0.7</v>
      </c>
      <c r="E24" s="5" t="n">
        <v>4.7</v>
      </c>
      <c r="F24" s="4" t="n">
        <v>0.2474</v>
      </c>
      <c r="G24" s="4" t="n">
        <v>0.2848</v>
      </c>
      <c r="H24" s="4" t="n">
        <v>0.3253</v>
      </c>
      <c r="I24" s="4" t="n">
        <v>0.127</v>
      </c>
      <c r="J24" s="4" t="n">
        <v>0.0155</v>
      </c>
      <c r="K24" s="2" t="inlineStr">
        <is>
          <t>45:25% / 50:75%</t>
        </is>
      </c>
    </row>
    <row r="25">
      <c r="A25" s="2" t="n">
        <v>24</v>
      </c>
      <c r="B25" s="2" t="inlineStr">
        <is>
          <t>钥匙 x1</t>
        </is>
      </c>
      <c r="C25" s="2" t="n">
        <v>4</v>
      </c>
      <c r="D25" s="4" t="n">
        <v>0.8</v>
      </c>
      <c r="E25" s="5" t="n">
        <v>4.8</v>
      </c>
      <c r="F25" s="4" t="n">
        <v>0.2292</v>
      </c>
      <c r="G25" s="4" t="n">
        <v>0.2841</v>
      </c>
      <c r="H25" s="4" t="n">
        <v>0.3317</v>
      </c>
      <c r="I25" s="4" t="n">
        <v>0.136</v>
      </c>
      <c r="J25" s="4" t="n">
        <v>0.019</v>
      </c>
      <c r="K25" s="2" t="inlineStr">
        <is>
          <t>45:25% / 50:50% / 55:25%</t>
        </is>
      </c>
    </row>
    <row r="26">
      <c r="A26" s="2" t="n">
        <v>25</v>
      </c>
      <c r="B26" s="2" t="inlineStr">
        <is>
          <t>钥匙 x1</t>
        </is>
      </c>
      <c r="C26" s="2" t="n">
        <v>4</v>
      </c>
      <c r="D26" s="4" t="n">
        <v>0.9</v>
      </c>
      <c r="E26" s="5" t="n">
        <v>4.9</v>
      </c>
      <c r="F26" s="4" t="n">
        <v>0.211</v>
      </c>
      <c r="G26" s="4" t="n">
        <v>0.2834</v>
      </c>
      <c r="H26" s="4" t="n">
        <v>0.3381</v>
      </c>
      <c r="I26" s="4" t="n">
        <v>0.145</v>
      </c>
      <c r="J26" s="4" t="n">
        <v>0.0225</v>
      </c>
      <c r="K26" s="2" t="inlineStr">
        <is>
          <t>50:75% / 55:25%</t>
        </is>
      </c>
    </row>
    <row r="27">
      <c r="A27" s="2" t="n">
        <v>26</v>
      </c>
      <c r="B27" s="2" t="inlineStr">
        <is>
          <t>钥匙 x1</t>
        </is>
      </c>
      <c r="C27" s="2" t="n">
        <v>5</v>
      </c>
      <c r="D27" s="4" t="n">
        <v>0</v>
      </c>
      <c r="E27" s="5" t="n">
        <v>5</v>
      </c>
      <c r="F27" s="4" t="n">
        <v>0.1927</v>
      </c>
      <c r="G27" s="4" t="n">
        <v>0.2828</v>
      </c>
      <c r="H27" s="4" t="n">
        <v>0.3445</v>
      </c>
      <c r="I27" s="4" t="n">
        <v>0.154</v>
      </c>
      <c r="J27" s="4" t="n">
        <v>0.026</v>
      </c>
      <c r="K27" s="2" t="inlineStr">
        <is>
          <t>50:50% / 55:50%</t>
        </is>
      </c>
    </row>
    <row r="28">
      <c r="A28" s="2" t="n">
        <v>27</v>
      </c>
      <c r="B28" s="2" t="inlineStr">
        <is>
          <t>钥匙 x1</t>
        </is>
      </c>
      <c r="C28" s="2" t="n">
        <v>5</v>
      </c>
      <c r="D28" s="4" t="n">
        <v>0.25</v>
      </c>
      <c r="E28" s="5" t="n">
        <v>5.25</v>
      </c>
      <c r="F28" s="4" t="n">
        <v>0.1745</v>
      </c>
      <c r="G28" s="4" t="n">
        <v>0.2821</v>
      </c>
      <c r="H28" s="4" t="n">
        <v>0.3509</v>
      </c>
      <c r="I28" s="4" t="n">
        <v>0.163</v>
      </c>
      <c r="J28" s="4" t="n">
        <v>0.0295</v>
      </c>
      <c r="K28" s="2" t="inlineStr">
        <is>
          <t>50:25% / 55:75%</t>
        </is>
      </c>
    </row>
    <row r="29">
      <c r="A29" s="2" t="n">
        <v>28</v>
      </c>
      <c r="B29" s="2" t="inlineStr">
        <is>
          <t>钥匙 x1</t>
        </is>
      </c>
      <c r="C29" s="2" t="n">
        <v>5</v>
      </c>
      <c r="D29" s="4" t="n">
        <v>0.5</v>
      </c>
      <c r="E29" s="5" t="n">
        <v>5.5</v>
      </c>
      <c r="F29" s="4" t="n">
        <v>0.1564</v>
      </c>
      <c r="G29" s="4" t="n">
        <v>0.2814</v>
      </c>
      <c r="H29" s="4" t="n">
        <v>0.3572</v>
      </c>
      <c r="I29" s="4" t="n">
        <v>0.172</v>
      </c>
      <c r="J29" s="4" t="n">
        <v>0.033</v>
      </c>
      <c r="K29" s="2" t="inlineStr">
        <is>
          <t>50:25% / 55:50% / 60:25%</t>
        </is>
      </c>
    </row>
    <row r="30">
      <c r="A30" s="2" t="n">
        <v>29</v>
      </c>
      <c r="B30" s="2" t="inlineStr">
        <is>
          <t>钥匙 x1</t>
        </is>
      </c>
      <c r="C30" s="2" t="n">
        <v>5</v>
      </c>
      <c r="D30" s="4" t="n">
        <v>0.75</v>
      </c>
      <c r="E30" s="5" t="n">
        <v>5.75</v>
      </c>
      <c r="F30" s="4" t="n">
        <v>0.1382</v>
      </c>
      <c r="G30" s="4" t="n">
        <v>0.2807</v>
      </c>
      <c r="H30" s="4" t="n">
        <v>0.3636</v>
      </c>
      <c r="I30" s="4" t="n">
        <v>0.181</v>
      </c>
      <c r="J30" s="4" t="n">
        <v>0.0365</v>
      </c>
      <c r="K30" s="2" t="inlineStr">
        <is>
          <t>55:75% / 60:25%</t>
        </is>
      </c>
    </row>
    <row r="31">
      <c r="A31" s="2" t="n">
        <v>30</v>
      </c>
      <c r="B31" s="2" t="inlineStr">
        <is>
          <t>钥匙 x1</t>
        </is>
      </c>
      <c r="C31" s="2" t="n">
        <v>6</v>
      </c>
      <c r="D31" s="4" t="n">
        <v>0</v>
      </c>
      <c r="E31" s="5" t="n">
        <v>6</v>
      </c>
      <c r="F31" s="4" t="n">
        <v>0.12</v>
      </c>
      <c r="G31" s="4" t="n">
        <v>0.28</v>
      </c>
      <c r="H31" s="4" t="n">
        <v>0.37</v>
      </c>
      <c r="I31" s="4" t="n">
        <v>0.19</v>
      </c>
      <c r="J31" s="4" t="n">
        <v>0.04</v>
      </c>
      <c r="K31" s="2" t="inlineStr">
        <is>
          <t>55:50% / 60:50%</t>
        </is>
      </c>
    </row>
  </sheetData>
  <autoFilter ref="A1:K3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2" customWidth="1" min="8" max="8"/>
    <col width="10" customWidth="1" min="9" max="9"/>
    <col width="10" customWidth="1" min="10" max="10"/>
  </cols>
  <sheetData>
    <row r="1">
      <c r="A1" s="1" t="inlineStr">
        <is>
          <t>层</t>
        </is>
      </c>
      <c r="B1" s="1" t="inlineStr">
        <is>
          <t>主材阶位</t>
        </is>
      </c>
      <c r="C1" s="1" t="inlineStr">
        <is>
          <t>打造档位等级</t>
        </is>
      </c>
      <c r="D1" s="1" t="inlineStr">
        <is>
          <t>可打造装备等级</t>
        </is>
      </c>
      <c r="E1" s="1" t="inlineStr">
        <is>
          <t>主材掉率</t>
        </is>
      </c>
      <c r="F1" s="1" t="inlineStr">
        <is>
          <t>紫主材概率</t>
        </is>
      </c>
      <c r="G1" s="1" t="inlineStr">
        <is>
          <t>金主材概率</t>
        </is>
      </c>
      <c r="H1" s="1" t="inlineStr">
        <is>
          <t>红主材概率</t>
        </is>
      </c>
      <c r="I1" s="1" t="inlineStr">
        <is>
          <t>副材总量/次</t>
        </is>
      </c>
      <c r="J1" s="1" t="inlineStr">
        <is>
          <t>单种副材期望/次</t>
        </is>
      </c>
    </row>
    <row r="2">
      <c r="A2" s="2" t="n">
        <v>1</v>
      </c>
      <c r="B2" s="2" t="inlineStr">
        <is>
          <t>I</t>
        </is>
      </c>
      <c r="C2" s="2" t="n">
        <v>10</v>
      </c>
      <c r="D2" s="2" t="inlineStr">
        <is>
          <t>10（100%）</t>
        </is>
      </c>
      <c r="E2" s="4" t="n">
        <v>0</v>
      </c>
      <c r="F2" s="4" t="n">
        <v>1</v>
      </c>
      <c r="G2" s="4" t="n">
        <v>0</v>
      </c>
      <c r="H2" s="4" t="n">
        <v>0</v>
      </c>
      <c r="I2" s="2" t="n">
        <v>0</v>
      </c>
      <c r="J2" s="3">
        <f>I2/4</f>
        <v/>
      </c>
    </row>
    <row r="3">
      <c r="A3" s="2" t="n">
        <v>2</v>
      </c>
      <c r="B3" s="2" t="inlineStr">
        <is>
          <t>I</t>
        </is>
      </c>
      <c r="C3" s="2" t="n">
        <v>10</v>
      </c>
      <c r="D3" s="2" t="inlineStr">
        <is>
          <t>10（100%）</t>
        </is>
      </c>
      <c r="E3" s="4" t="n">
        <v>0</v>
      </c>
      <c r="F3" s="4" t="n">
        <v>1</v>
      </c>
      <c r="G3" s="4" t="n">
        <v>0</v>
      </c>
      <c r="H3" s="4" t="n">
        <v>0</v>
      </c>
      <c r="I3" s="2" t="n">
        <v>0</v>
      </c>
      <c r="J3" s="3">
        <f>I3/4</f>
        <v/>
      </c>
    </row>
    <row r="4">
      <c r="A4" s="2" t="n">
        <v>3</v>
      </c>
      <c r="B4" s="2" t="inlineStr">
        <is>
          <t>I</t>
        </is>
      </c>
      <c r="C4" s="2" t="n">
        <v>10</v>
      </c>
      <c r="D4" s="2" t="inlineStr">
        <is>
          <t>10（100%）</t>
        </is>
      </c>
      <c r="E4" s="4" t="n">
        <v>0</v>
      </c>
      <c r="F4" s="4" t="n">
        <v>1</v>
      </c>
      <c r="G4" s="4" t="n">
        <v>0</v>
      </c>
      <c r="H4" s="4" t="n">
        <v>0</v>
      </c>
      <c r="I4" s="2" t="n">
        <v>0</v>
      </c>
      <c r="J4" s="3">
        <f>I4/4</f>
        <v/>
      </c>
    </row>
    <row r="5">
      <c r="A5" s="2" t="n">
        <v>4</v>
      </c>
      <c r="B5" s="2" t="inlineStr">
        <is>
          <t>II</t>
        </is>
      </c>
      <c r="C5" s="2" t="n">
        <v>20</v>
      </c>
      <c r="D5" s="2" t="inlineStr">
        <is>
          <t>15 / 20（70% / 30%）</t>
        </is>
      </c>
      <c r="E5" s="4" t="n">
        <v>0</v>
      </c>
      <c r="F5" s="4" t="n">
        <v>1</v>
      </c>
      <c r="G5" s="4" t="n">
        <v>0</v>
      </c>
      <c r="H5" s="4" t="n">
        <v>0</v>
      </c>
      <c r="I5" s="2" t="n">
        <v>0</v>
      </c>
      <c r="J5" s="3">
        <f>I5/4</f>
        <v/>
      </c>
    </row>
    <row r="6">
      <c r="A6" s="2" t="n">
        <v>5</v>
      </c>
      <c r="B6" s="2" t="inlineStr">
        <is>
          <t>II</t>
        </is>
      </c>
      <c r="C6" s="2" t="n">
        <v>20</v>
      </c>
      <c r="D6" s="2" t="inlineStr">
        <is>
          <t>15 / 20（70% / 30%）</t>
        </is>
      </c>
      <c r="E6" s="4" t="n">
        <v>0</v>
      </c>
      <c r="F6" s="4" t="n">
        <v>1</v>
      </c>
      <c r="G6" s="4" t="n">
        <v>0</v>
      </c>
      <c r="H6" s="4" t="n">
        <v>0</v>
      </c>
      <c r="I6" s="2" t="n">
        <v>0</v>
      </c>
      <c r="J6" s="3">
        <f>I6/4</f>
        <v/>
      </c>
    </row>
    <row r="7">
      <c r="A7" s="2" t="n">
        <v>6</v>
      </c>
      <c r="B7" s="2" t="inlineStr">
        <is>
          <t>I</t>
        </is>
      </c>
      <c r="C7" s="2" t="n">
        <v>10</v>
      </c>
      <c r="D7" s="2" t="inlineStr">
        <is>
          <t>10（100%）</t>
        </is>
      </c>
      <c r="E7" s="4" t="n">
        <v>0.2</v>
      </c>
      <c r="F7" s="4" t="n">
        <v>1</v>
      </c>
      <c r="G7" s="4" t="n">
        <v>0</v>
      </c>
      <c r="H7" s="4" t="n">
        <v>0</v>
      </c>
      <c r="I7" s="2" t="n">
        <v>1</v>
      </c>
      <c r="J7" s="3">
        <f>I7/4</f>
        <v/>
      </c>
    </row>
    <row r="8">
      <c r="A8" s="2" t="n">
        <v>7</v>
      </c>
      <c r="B8" s="2" t="inlineStr">
        <is>
          <t>I</t>
        </is>
      </c>
      <c r="C8" s="2" t="n">
        <v>10</v>
      </c>
      <c r="D8" s="2" t="inlineStr">
        <is>
          <t>10（100%）</t>
        </is>
      </c>
      <c r="E8" s="4" t="n">
        <v>0.21</v>
      </c>
      <c r="F8" s="4" t="n">
        <v>1</v>
      </c>
      <c r="G8" s="4" t="n">
        <v>0</v>
      </c>
      <c r="H8" s="4" t="n">
        <v>0</v>
      </c>
      <c r="I8" s="2" t="n">
        <v>2</v>
      </c>
      <c r="J8" s="3">
        <f>I8/4</f>
        <v/>
      </c>
    </row>
    <row r="9">
      <c r="A9" s="2" t="n">
        <v>8</v>
      </c>
      <c r="B9" s="2" t="inlineStr">
        <is>
          <t>I</t>
        </is>
      </c>
      <c r="C9" s="2" t="n">
        <v>10</v>
      </c>
      <c r="D9" s="2" t="inlineStr">
        <is>
          <t>10（100%）</t>
        </is>
      </c>
      <c r="E9" s="4" t="n">
        <v>0.22</v>
      </c>
      <c r="F9" s="4" t="n">
        <v>1</v>
      </c>
      <c r="G9" s="4" t="n">
        <v>0</v>
      </c>
      <c r="H9" s="4" t="n">
        <v>0</v>
      </c>
      <c r="I9" s="2" t="n">
        <v>2</v>
      </c>
      <c r="J9" s="3">
        <f>I9/4</f>
        <v/>
      </c>
    </row>
    <row r="10">
      <c r="A10" s="2" t="n">
        <v>9</v>
      </c>
      <c r="B10" s="2" t="inlineStr">
        <is>
          <t>II</t>
        </is>
      </c>
      <c r="C10" s="2" t="n">
        <v>20</v>
      </c>
      <c r="D10" s="2" t="inlineStr">
        <is>
          <t>15 / 20（70% / 30%）</t>
        </is>
      </c>
      <c r="E10" s="4" t="n">
        <v>0.23</v>
      </c>
      <c r="F10" s="4" t="n">
        <v>1</v>
      </c>
      <c r="G10" s="4" t="n">
        <v>0</v>
      </c>
      <c r="H10" s="4" t="n">
        <v>0</v>
      </c>
      <c r="I10" s="2" t="n">
        <v>2</v>
      </c>
      <c r="J10" s="3">
        <f>I10/4</f>
        <v/>
      </c>
    </row>
    <row r="11">
      <c r="A11" s="2" t="n">
        <v>10</v>
      </c>
      <c r="B11" s="2" t="inlineStr">
        <is>
          <t>III</t>
        </is>
      </c>
      <c r="C11" s="2" t="n">
        <v>30</v>
      </c>
      <c r="D11" s="2" t="inlineStr">
        <is>
          <t>25 / 30（70% / 30%）</t>
        </is>
      </c>
      <c r="E11" s="4" t="n">
        <v>0.24</v>
      </c>
      <c r="F11" s="4" t="n">
        <v>1</v>
      </c>
      <c r="G11" s="4" t="n">
        <v>0</v>
      </c>
      <c r="H11" s="4" t="n">
        <v>0</v>
      </c>
      <c r="I11" s="2" t="n">
        <v>2</v>
      </c>
      <c r="J11" s="3">
        <f>I11/4</f>
        <v/>
      </c>
    </row>
    <row r="12">
      <c r="A12" s="2" t="n">
        <v>11</v>
      </c>
      <c r="B12" s="2" t="inlineStr">
        <is>
          <t>III</t>
        </is>
      </c>
      <c r="C12" s="2" t="n">
        <v>30</v>
      </c>
      <c r="D12" s="2" t="inlineStr">
        <is>
          <t>25 / 30（70% / 30%）</t>
        </is>
      </c>
      <c r="E12" s="4" t="n">
        <v>0.25</v>
      </c>
      <c r="F12" s="4" t="n">
        <v>0.98</v>
      </c>
      <c r="G12" s="4" t="n">
        <v>0.02</v>
      </c>
      <c r="H12" s="4" t="n">
        <v>0</v>
      </c>
      <c r="I12" s="2" t="n">
        <v>2</v>
      </c>
      <c r="J12" s="3">
        <f>I12/4</f>
        <v/>
      </c>
    </row>
    <row r="13">
      <c r="A13" s="2" t="n">
        <v>12</v>
      </c>
      <c r="B13" s="2" t="inlineStr">
        <is>
          <t>III</t>
        </is>
      </c>
      <c r="C13" s="2" t="n">
        <v>30</v>
      </c>
      <c r="D13" s="2" t="inlineStr">
        <is>
          <t>25 / 30（70% / 30%）</t>
        </is>
      </c>
      <c r="E13" s="4" t="n">
        <v>0.26</v>
      </c>
      <c r="F13" s="4" t="n">
        <v>0.97</v>
      </c>
      <c r="G13" s="4" t="n">
        <v>0.03</v>
      </c>
      <c r="H13" s="4" t="n">
        <v>0</v>
      </c>
      <c r="I13" s="2" t="n">
        <v>2</v>
      </c>
      <c r="J13" s="3">
        <f>I13/4</f>
        <v/>
      </c>
    </row>
    <row r="14">
      <c r="A14" s="2" t="n">
        <v>13</v>
      </c>
      <c r="B14" s="2" t="inlineStr">
        <is>
          <t>II</t>
        </is>
      </c>
      <c r="C14" s="2" t="n">
        <v>20</v>
      </c>
      <c r="D14" s="2" t="inlineStr">
        <is>
          <t>15 / 20（70% / 30%）</t>
        </is>
      </c>
      <c r="E14" s="4" t="n">
        <v>0.27</v>
      </c>
      <c r="F14" s="4" t="n">
        <v>0.96</v>
      </c>
      <c r="G14" s="4" t="n">
        <v>0.04</v>
      </c>
      <c r="H14" s="4" t="n">
        <v>0</v>
      </c>
      <c r="I14" s="2" t="n">
        <v>2</v>
      </c>
      <c r="J14" s="3">
        <f>I14/4</f>
        <v/>
      </c>
    </row>
    <row r="15">
      <c r="A15" s="2" t="n">
        <v>14</v>
      </c>
      <c r="B15" s="2" t="inlineStr">
        <is>
          <t>II</t>
        </is>
      </c>
      <c r="C15" s="2" t="n">
        <v>20</v>
      </c>
      <c r="D15" s="2" t="inlineStr">
        <is>
          <t>15 / 20（70% / 30%）</t>
        </is>
      </c>
      <c r="E15" s="4" t="n">
        <v>0.28</v>
      </c>
      <c r="F15" s="4" t="n">
        <v>0.95</v>
      </c>
      <c r="G15" s="4" t="n">
        <v>0.05</v>
      </c>
      <c r="H15" s="4" t="n">
        <v>0</v>
      </c>
      <c r="I15" s="2" t="n">
        <v>2</v>
      </c>
      <c r="J15" s="3">
        <f>I15/4</f>
        <v/>
      </c>
    </row>
    <row r="16">
      <c r="A16" s="2" t="n">
        <v>15</v>
      </c>
      <c r="B16" s="2" t="inlineStr">
        <is>
          <t>II</t>
        </is>
      </c>
      <c r="C16" s="2" t="n">
        <v>20</v>
      </c>
      <c r="D16" s="2" t="inlineStr">
        <is>
          <t>15 / 20（70% / 30%）</t>
        </is>
      </c>
      <c r="E16" s="4" t="n">
        <v>0.29</v>
      </c>
      <c r="F16" s="4" t="n">
        <v>0.9399999999999999</v>
      </c>
      <c r="G16" s="4" t="n">
        <v>0.06</v>
      </c>
      <c r="H16" s="4" t="n">
        <v>0</v>
      </c>
      <c r="I16" s="2" t="n">
        <v>3</v>
      </c>
      <c r="J16" s="3">
        <f>I16/4</f>
        <v/>
      </c>
    </row>
    <row r="17">
      <c r="A17" s="2" t="n">
        <v>16</v>
      </c>
      <c r="B17" s="2" t="inlineStr">
        <is>
          <t>IV</t>
        </is>
      </c>
      <c r="C17" s="2" t="n">
        <v>40</v>
      </c>
      <c r="D17" s="2" t="inlineStr">
        <is>
          <t>35 / 40（70% / 30%）</t>
        </is>
      </c>
      <c r="E17" s="4" t="n">
        <v>0.3</v>
      </c>
      <c r="F17" s="4" t="n">
        <v>0.93</v>
      </c>
      <c r="G17" s="4" t="n">
        <v>0.07000000000000001</v>
      </c>
      <c r="H17" s="4" t="n">
        <v>0</v>
      </c>
      <c r="I17" s="2" t="n">
        <v>3</v>
      </c>
      <c r="J17" s="3">
        <f>I17/4</f>
        <v/>
      </c>
    </row>
    <row r="18">
      <c r="A18" s="2" t="n">
        <v>17</v>
      </c>
      <c r="B18" s="2" t="inlineStr">
        <is>
          <t>IV</t>
        </is>
      </c>
      <c r="C18" s="2" t="n">
        <v>40</v>
      </c>
      <c r="D18" s="2" t="inlineStr">
        <is>
          <t>35 / 40（70% / 30%）</t>
        </is>
      </c>
      <c r="E18" s="4" t="n">
        <v>0.31</v>
      </c>
      <c r="F18" s="4" t="n">
        <v>0.92</v>
      </c>
      <c r="G18" s="4" t="n">
        <v>0.08</v>
      </c>
      <c r="H18" s="4" t="n">
        <v>0</v>
      </c>
      <c r="I18" s="2" t="n">
        <v>3</v>
      </c>
      <c r="J18" s="3">
        <f>I18/4</f>
        <v/>
      </c>
    </row>
    <row r="19">
      <c r="A19" s="2" t="n">
        <v>18</v>
      </c>
      <c r="B19" s="2" t="inlineStr">
        <is>
          <t>IV</t>
        </is>
      </c>
      <c r="C19" s="2" t="n">
        <v>40</v>
      </c>
      <c r="D19" s="2" t="inlineStr">
        <is>
          <t>35 / 40（70% / 30%）</t>
        </is>
      </c>
      <c r="E19" s="4" t="n">
        <v>0.32</v>
      </c>
      <c r="F19" s="4" t="n">
        <v>0.91</v>
      </c>
      <c r="G19" s="4" t="n">
        <v>0.09</v>
      </c>
      <c r="H19" s="4" t="n">
        <v>0</v>
      </c>
      <c r="I19" s="2" t="n">
        <v>3</v>
      </c>
      <c r="J19" s="3">
        <f>I19/4</f>
        <v/>
      </c>
    </row>
    <row r="20">
      <c r="A20" s="2" t="n">
        <v>19</v>
      </c>
      <c r="B20" s="2" t="inlineStr">
        <is>
          <t>IV</t>
        </is>
      </c>
      <c r="C20" s="2" t="n">
        <v>40</v>
      </c>
      <c r="D20" s="2" t="inlineStr">
        <is>
          <t>35 / 40（70% / 30%）</t>
        </is>
      </c>
      <c r="E20" s="4" t="n">
        <v>0.33</v>
      </c>
      <c r="F20" s="4" t="n">
        <v>0.9</v>
      </c>
      <c r="G20" s="4" t="n">
        <v>0.1</v>
      </c>
      <c r="H20" s="4" t="n">
        <v>0</v>
      </c>
      <c r="I20" s="2" t="n">
        <v>3</v>
      </c>
      <c r="J20" s="3">
        <f>I20/4</f>
        <v/>
      </c>
    </row>
    <row r="21">
      <c r="A21" s="2" t="n">
        <v>20</v>
      </c>
      <c r="B21" s="2" t="inlineStr">
        <is>
          <t>IV</t>
        </is>
      </c>
      <c r="C21" s="2" t="n">
        <v>40</v>
      </c>
      <c r="D21" s="2" t="inlineStr">
        <is>
          <t>35 / 40（70% / 30%）</t>
        </is>
      </c>
      <c r="E21" s="4" t="n">
        <v>0.34</v>
      </c>
      <c r="F21" s="4" t="n">
        <v>0.89</v>
      </c>
      <c r="G21" s="4" t="n">
        <v>0.11</v>
      </c>
      <c r="H21" s="4" t="n">
        <v>0</v>
      </c>
      <c r="I21" s="2" t="n">
        <v>3</v>
      </c>
      <c r="J21" s="3">
        <f>I21/4</f>
        <v/>
      </c>
    </row>
    <row r="22">
      <c r="A22" s="2" t="n">
        <v>21</v>
      </c>
      <c r="B22" s="2" t="inlineStr">
        <is>
          <t>IV</t>
        </is>
      </c>
      <c r="C22" s="2" t="n">
        <v>40</v>
      </c>
      <c r="D22" s="2" t="inlineStr">
        <is>
          <t>35 / 40（70% / 30%）</t>
        </is>
      </c>
      <c r="E22" s="4" t="n">
        <v>0.35</v>
      </c>
      <c r="F22" s="4" t="n">
        <v>0.88</v>
      </c>
      <c r="G22" s="4" t="n">
        <v>0.12</v>
      </c>
      <c r="H22" s="4" t="n">
        <v>0</v>
      </c>
      <c r="I22" s="2" t="n">
        <v>3</v>
      </c>
      <c r="J22" s="3">
        <f>I22/4</f>
        <v/>
      </c>
    </row>
    <row r="23">
      <c r="A23" s="2" t="n">
        <v>22</v>
      </c>
      <c r="B23" s="2" t="inlineStr">
        <is>
          <t>V</t>
        </is>
      </c>
      <c r="C23" s="2" t="n">
        <v>45</v>
      </c>
      <c r="D23" s="2" t="inlineStr">
        <is>
          <t>40 / 45（65% / 35%）</t>
        </is>
      </c>
      <c r="E23" s="4" t="n">
        <v>0.36</v>
      </c>
      <c r="F23" s="4" t="n">
        <v>0.87</v>
      </c>
      <c r="G23" s="4" t="n">
        <v>0.13</v>
      </c>
      <c r="H23" s="4" t="n">
        <v>0</v>
      </c>
      <c r="I23" s="2" t="n">
        <v>3</v>
      </c>
      <c r="J23" s="3">
        <f>I23/4</f>
        <v/>
      </c>
    </row>
    <row r="24">
      <c r="A24" s="2" t="n">
        <v>23</v>
      </c>
      <c r="B24" s="2" t="inlineStr">
        <is>
          <t>V</t>
        </is>
      </c>
      <c r="C24" s="2" t="n">
        <v>45</v>
      </c>
      <c r="D24" s="2" t="inlineStr">
        <is>
          <t>40 / 45（65% / 35%）</t>
        </is>
      </c>
      <c r="E24" s="4" t="n">
        <v>0.37</v>
      </c>
      <c r="F24" s="4" t="n">
        <v>0.86</v>
      </c>
      <c r="G24" s="4" t="n">
        <v>0.14</v>
      </c>
      <c r="H24" s="4" t="n">
        <v>0</v>
      </c>
      <c r="I24" s="2" t="n">
        <v>3</v>
      </c>
      <c r="J24" s="3">
        <f>I24/4</f>
        <v/>
      </c>
    </row>
    <row r="25">
      <c r="A25" s="2" t="n">
        <v>24</v>
      </c>
      <c r="B25" s="2" t="inlineStr">
        <is>
          <t>V</t>
        </is>
      </c>
      <c r="C25" s="2" t="n">
        <v>45</v>
      </c>
      <c r="D25" s="2" t="inlineStr">
        <is>
          <t>40 / 45（65% / 35%）</t>
        </is>
      </c>
      <c r="E25" s="4" t="n">
        <v>0.38</v>
      </c>
      <c r="F25" s="4" t="n">
        <v>0.85</v>
      </c>
      <c r="G25" s="4" t="n">
        <v>0.15</v>
      </c>
      <c r="H25" s="4" t="n">
        <v>0</v>
      </c>
      <c r="I25" s="2" t="n">
        <v>3</v>
      </c>
      <c r="J25" s="3">
        <f>I25/4</f>
        <v/>
      </c>
    </row>
    <row r="26">
      <c r="A26" s="2" t="n">
        <v>25</v>
      </c>
      <c r="B26" s="2" t="inlineStr">
        <is>
          <t>VI</t>
        </is>
      </c>
      <c r="C26" s="2" t="n">
        <v>50</v>
      </c>
      <c r="D26" s="2" t="inlineStr">
        <is>
          <t>45 / 50（65% / 35%）</t>
        </is>
      </c>
      <c r="E26" s="4" t="n">
        <v>0.39</v>
      </c>
      <c r="F26" s="4" t="n">
        <v>0.845</v>
      </c>
      <c r="G26" s="4" t="n">
        <v>0.15</v>
      </c>
      <c r="H26" s="4" t="n">
        <v>0.005</v>
      </c>
      <c r="I26" s="2" t="n">
        <v>4</v>
      </c>
      <c r="J26" s="3">
        <f>I26/4</f>
        <v/>
      </c>
    </row>
    <row r="27">
      <c r="A27" s="2" t="n">
        <v>26</v>
      </c>
      <c r="B27" s="2" t="inlineStr">
        <is>
          <t>VI</t>
        </is>
      </c>
      <c r="C27" s="2" t="n">
        <v>50</v>
      </c>
      <c r="D27" s="2" t="inlineStr">
        <is>
          <t>45 / 50（65% / 35%）</t>
        </is>
      </c>
      <c r="E27" s="4" t="n">
        <v>0.4</v>
      </c>
      <c r="F27" s="4" t="n">
        <v>0.8320000000000001</v>
      </c>
      <c r="G27" s="4" t="n">
        <v>0.16</v>
      </c>
      <c r="H27" s="4" t="n">
        <v>0.008</v>
      </c>
      <c r="I27" s="2" t="n">
        <v>4</v>
      </c>
      <c r="J27" s="3">
        <f>I27/4</f>
        <v/>
      </c>
    </row>
    <row r="28">
      <c r="A28" s="2" t="n">
        <v>27</v>
      </c>
      <c r="B28" s="2" t="inlineStr">
        <is>
          <t>VII</t>
        </is>
      </c>
      <c r="C28" s="2" t="n">
        <v>55</v>
      </c>
      <c r="D28" s="2" t="inlineStr">
        <is>
          <t>50 / 55（65% / 35%）</t>
        </is>
      </c>
      <c r="E28" s="4" t="n">
        <v>0.41</v>
      </c>
      <c r="F28" s="4" t="n">
        <v>0.8190000000000001</v>
      </c>
      <c r="G28" s="4" t="n">
        <v>0.17</v>
      </c>
      <c r="H28" s="4" t="n">
        <v>0.011</v>
      </c>
      <c r="I28" s="2" t="n">
        <v>4</v>
      </c>
      <c r="J28" s="3">
        <f>I28/4</f>
        <v/>
      </c>
    </row>
    <row r="29">
      <c r="A29" s="2" t="n">
        <v>28</v>
      </c>
      <c r="B29" s="2" t="inlineStr">
        <is>
          <t>VII</t>
        </is>
      </c>
      <c r="C29" s="2" t="n">
        <v>55</v>
      </c>
      <c r="D29" s="2" t="inlineStr">
        <is>
          <t>50 / 55（65% / 35%）</t>
        </is>
      </c>
      <c r="E29" s="4" t="n">
        <v>0.42</v>
      </c>
      <c r="F29" s="4" t="n">
        <v>0.8059999999999999</v>
      </c>
      <c r="G29" s="4" t="n">
        <v>0.18</v>
      </c>
      <c r="H29" s="4" t="n">
        <v>0.014</v>
      </c>
      <c r="I29" s="2" t="n">
        <v>4</v>
      </c>
      <c r="J29" s="3">
        <f>I29/4</f>
        <v/>
      </c>
    </row>
    <row r="30">
      <c r="A30" s="2" t="n">
        <v>29</v>
      </c>
      <c r="B30" s="2" t="inlineStr">
        <is>
          <t>VIII</t>
        </is>
      </c>
      <c r="C30" s="2" t="n">
        <v>60</v>
      </c>
      <c r="D30" s="2" t="inlineStr">
        <is>
          <t>55 / 60（65% / 35%）</t>
        </is>
      </c>
      <c r="E30" s="4" t="n">
        <v>0.43</v>
      </c>
      <c r="F30" s="4" t="n">
        <v>0.7929999999999999</v>
      </c>
      <c r="G30" s="4" t="n">
        <v>0.19</v>
      </c>
      <c r="H30" s="4" t="n">
        <v>0.017</v>
      </c>
      <c r="I30" s="2" t="n">
        <v>4</v>
      </c>
      <c r="J30" s="3">
        <f>I30/4</f>
        <v/>
      </c>
    </row>
    <row r="31">
      <c r="A31" s="2" t="n">
        <v>30</v>
      </c>
      <c r="B31" s="2" t="inlineStr">
        <is>
          <t>VIII</t>
        </is>
      </c>
      <c r="C31" s="2" t="n">
        <v>60</v>
      </c>
      <c r="D31" s="2" t="inlineStr">
        <is>
          <t>55 / 60（65% / 35%）</t>
        </is>
      </c>
      <c r="E31" s="4" t="n">
        <v>0.45</v>
      </c>
      <c r="F31" s="4" t="n">
        <v>0.78</v>
      </c>
      <c r="G31" s="4" t="n">
        <v>0.2</v>
      </c>
      <c r="H31" s="4" t="n">
        <v>0.02</v>
      </c>
      <c r="I31" s="2" t="n">
        <v>4</v>
      </c>
      <c r="J31" s="3">
        <f>I31/4</f>
        <v/>
      </c>
    </row>
  </sheetData>
  <autoFilter ref="A1:J3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类型</t>
        </is>
      </c>
      <c r="B1" s="1" t="inlineStr">
        <is>
          <t>阶段/刷层</t>
        </is>
      </c>
      <c r="C1" s="1" t="inlineStr">
        <is>
          <t>代表层</t>
        </is>
      </c>
      <c r="D1" s="1" t="inlineStr">
        <is>
          <t>次数/日</t>
        </is>
      </c>
      <c r="E1" s="1" t="inlineStr">
        <is>
          <t>装备/日</t>
        </is>
      </c>
      <c r="F1" s="1" t="inlineStr">
        <is>
          <t>绿装/日</t>
        </is>
      </c>
      <c r="G1" s="1" t="inlineStr">
        <is>
          <t>蓝装/日</t>
        </is>
      </c>
      <c r="H1" s="1" t="inlineStr">
        <is>
          <t>紫装/日</t>
        </is>
      </c>
      <c r="I1" s="1" t="inlineStr">
        <is>
          <t>金装/日</t>
        </is>
      </c>
      <c r="J1" s="1" t="inlineStr">
        <is>
          <t>红装/日</t>
        </is>
      </c>
      <c r="K1" s="1" t="inlineStr">
        <is>
          <t>全分解金币上限/日</t>
        </is>
      </c>
      <c r="L1" s="1" t="inlineStr">
        <is>
          <t>打造档位等级</t>
        </is>
      </c>
      <c r="M1" s="1" t="inlineStr">
        <is>
          <t>主材总/日</t>
        </is>
      </c>
      <c r="N1" s="1" t="inlineStr">
        <is>
          <t>紫主材/日</t>
        </is>
      </c>
      <c r="O1" s="1" t="inlineStr">
        <is>
          <t>金主材/日</t>
        </is>
      </c>
      <c r="P1" s="1" t="inlineStr">
        <is>
          <t>红主材/日</t>
        </is>
      </c>
      <c r="Q1" s="1" t="inlineStr">
        <is>
          <t>副材总/日</t>
        </is>
      </c>
      <c r="R1" s="1" t="inlineStr">
        <is>
          <t>单种副材/日</t>
        </is>
      </c>
      <c r="S1" s="1" t="inlineStr">
        <is>
          <t>武器主材/日</t>
        </is>
      </c>
      <c r="T1" s="1" t="inlineStr">
        <is>
          <t>防具主材/日</t>
        </is>
      </c>
      <c r="U1" s="1" t="inlineStr">
        <is>
          <t>首饰主材/日</t>
        </is>
      </c>
    </row>
    <row r="2">
      <c r="A2" s="2" t="inlineStr">
        <is>
          <t>装备验算</t>
        </is>
      </c>
      <c r="B2" s="2" t="inlineStr">
        <is>
          <t>刷1层</t>
        </is>
      </c>
      <c r="C2" s="2" t="n">
        <v>1</v>
      </c>
      <c r="D2" s="2" t="n">
        <v>7.86</v>
      </c>
      <c r="E2" s="2" t="n">
        <v>23.58</v>
      </c>
      <c r="F2" s="2" t="n">
        <v>9.710000000000001</v>
      </c>
      <c r="G2" s="2" t="n">
        <v>8.44</v>
      </c>
      <c r="H2" s="2" t="n">
        <v>4.99</v>
      </c>
      <c r="I2" s="2" t="n">
        <v>0.44</v>
      </c>
      <c r="J2" s="2" t="n">
        <v>0</v>
      </c>
      <c r="K2" s="2" t="n">
        <v>14321</v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s="2" t="inlineStr">
        <is>
          <t>装备验算</t>
        </is>
      </c>
      <c r="B3" s="2" t="inlineStr">
        <is>
          <t>刷5层</t>
        </is>
      </c>
      <c r="C3" s="2" t="n">
        <v>5</v>
      </c>
      <c r="D3" s="2" t="n">
        <v>7.86</v>
      </c>
      <c r="E3" s="2" t="n">
        <v>25.15</v>
      </c>
      <c r="F3" s="2" t="n">
        <v>9.9</v>
      </c>
      <c r="G3" s="2" t="n">
        <v>8.83</v>
      </c>
      <c r="H3" s="2" t="n">
        <v>5.89</v>
      </c>
      <c r="I3" s="2" t="n">
        <v>0.53</v>
      </c>
      <c r="J3" s="2" t="n">
        <v>0</v>
      </c>
      <c r="K3" s="2" t="n">
        <v>31641</v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</row>
    <row r="4">
      <c r="A4" s="2" t="inlineStr">
        <is>
          <t>装备验算</t>
        </is>
      </c>
      <c r="B4" s="2" t="inlineStr">
        <is>
          <t>刷10层</t>
        </is>
      </c>
      <c r="C4" s="2" t="n">
        <v>10</v>
      </c>
      <c r="D4" s="2" t="n">
        <v>7.86</v>
      </c>
      <c r="E4" s="2" t="n">
        <v>27.12</v>
      </c>
      <c r="F4" s="2" t="n">
        <v>9.84</v>
      </c>
      <c r="G4" s="2" t="n">
        <v>9.23</v>
      </c>
      <c r="H4" s="2" t="n">
        <v>7.11</v>
      </c>
      <c r="I4" s="2" t="n">
        <v>0.92</v>
      </c>
      <c r="J4" s="2" t="n">
        <v>0.01</v>
      </c>
      <c r="K4" s="2" t="n">
        <v>55271</v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>
      <c r="A5" s="2" t="inlineStr">
        <is>
          <t>装备验算</t>
        </is>
      </c>
      <c r="B5" s="2" t="inlineStr">
        <is>
          <t>刷15层</t>
        </is>
      </c>
      <c r="C5" s="2" t="n">
        <v>15</v>
      </c>
      <c r="D5" s="2" t="n">
        <v>7.86</v>
      </c>
      <c r="E5" s="2" t="n">
        <v>30.65</v>
      </c>
      <c r="F5" s="2" t="n">
        <v>9.33</v>
      </c>
      <c r="G5" s="2" t="n">
        <v>9.9</v>
      </c>
      <c r="H5" s="2" t="n">
        <v>8.9</v>
      </c>
      <c r="I5" s="2" t="n">
        <v>2.49</v>
      </c>
      <c r="J5" s="2" t="n">
        <v>0.03</v>
      </c>
      <c r="K5" s="2" t="n">
        <v>83711</v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</row>
    <row r="6">
      <c r="A6" s="2" t="inlineStr">
        <is>
          <t>装备验算</t>
        </is>
      </c>
      <c r="B6" s="2" t="inlineStr">
        <is>
          <t>刷20层</t>
        </is>
      </c>
      <c r="C6" s="2" t="n">
        <v>20</v>
      </c>
      <c r="D6" s="2" t="n">
        <v>7.86</v>
      </c>
      <c r="E6" s="2" t="n">
        <v>34.58</v>
      </c>
      <c r="F6" s="2" t="n">
        <v>8.35</v>
      </c>
      <c r="G6" s="2" t="n">
        <v>10.52</v>
      </c>
      <c r="H6" s="2" t="n">
        <v>11.02</v>
      </c>
      <c r="I6" s="2" t="n">
        <v>4.45</v>
      </c>
      <c r="J6" s="2" t="n">
        <v>0.24</v>
      </c>
      <c r="K6" s="2" t="n">
        <v>127340</v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>
      <c r="A7" s="2" t="inlineStr">
        <is>
          <t>装备验算</t>
        </is>
      </c>
      <c r="B7" s="2" t="inlineStr">
        <is>
          <t>刷25层</t>
        </is>
      </c>
      <c r="C7" s="2" t="n">
        <v>25</v>
      </c>
      <c r="D7" s="2" t="n">
        <v>7.86</v>
      </c>
      <c r="E7" s="2" t="n">
        <v>38.51</v>
      </c>
      <c r="F7" s="2" t="n">
        <v>6.5</v>
      </c>
      <c r="G7" s="2" t="n">
        <v>10.9</v>
      </c>
      <c r="H7" s="2" t="n">
        <v>13.36</v>
      </c>
      <c r="I7" s="2" t="n">
        <v>6.78</v>
      </c>
      <c r="J7" s="2" t="n">
        <v>0.98</v>
      </c>
      <c r="K7" s="2" t="n">
        <v>199942</v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  <row r="8">
      <c r="A8" s="2" t="inlineStr">
        <is>
          <t>装备验算</t>
        </is>
      </c>
      <c r="B8" s="2" t="inlineStr">
        <is>
          <t>刷30层</t>
        </is>
      </c>
      <c r="C8" s="2" t="n">
        <v>30</v>
      </c>
      <c r="D8" s="2" t="n">
        <v>7.86</v>
      </c>
      <c r="E8" s="2" t="n">
        <v>47.16</v>
      </c>
      <c r="F8" s="2" t="n">
        <v>4.53</v>
      </c>
      <c r="G8" s="2" t="n">
        <v>12.36</v>
      </c>
      <c r="H8" s="2" t="n">
        <v>17.69</v>
      </c>
      <c r="I8" s="2" t="n">
        <v>10.53</v>
      </c>
      <c r="J8" s="2" t="n">
        <v>2.07</v>
      </c>
      <c r="K8" s="2" t="n">
        <v>349752</v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>
      <c r="A9" s="2" t="inlineStr">
        <is>
          <t>材料验算</t>
        </is>
      </c>
      <c r="B9" s="2" t="inlineStr">
        <is>
          <t>前期</t>
        </is>
      </c>
      <c r="C9" s="2" t="n">
        <v>10</v>
      </c>
      <c r="D9" s="2" t="n">
        <v>7.86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3">
        <f>INDEX('08_副本材料'!$C$2:$C$31,MATCH(C9,'08_副本材料'!$A$2:$A$31,0))</f>
        <v/>
      </c>
      <c r="M9" s="3">
        <f>D9*INDEX('08_副本材料'!$E$2:$E$31,MATCH(C9,'08_副本材料'!$A$2:$A$31,0))</f>
        <v/>
      </c>
      <c r="N9" s="3">
        <f>M9*INDEX('08_副本材料'!$F$2:$F$31,MATCH(C9,'08_副本材料'!$A$2:$A$31,0))</f>
        <v/>
      </c>
      <c r="O9" s="3">
        <f>M9*INDEX('08_副本材料'!$G$2:$G$31,MATCH(C9,'08_副本材料'!$A$2:$A$31,0))</f>
        <v/>
      </c>
      <c r="P9" s="3">
        <f>M9*INDEX('08_副本材料'!$H$2:$H$31,MATCH(C9,'08_副本材料'!$A$2:$A$31,0))</f>
        <v/>
      </c>
      <c r="Q9" s="3">
        <f>D9*INDEX('08_副本材料'!$I$2:$I$31,MATCH(C9,'08_副本材料'!$A$2:$A$31,0))</f>
        <v/>
      </c>
      <c r="R9" s="3">
        <f>Q9/4</f>
        <v/>
      </c>
      <c r="S9" s="3">
        <f>M9*20%</f>
        <v/>
      </c>
      <c r="T9" s="3">
        <f>M9*55%</f>
        <v/>
      </c>
      <c r="U9" s="3">
        <f>M9*25%</f>
        <v/>
      </c>
    </row>
    <row r="10">
      <c r="A10" s="2" t="inlineStr">
        <is>
          <t>材料验算</t>
        </is>
      </c>
      <c r="B10" s="2" t="inlineStr">
        <is>
          <t>中期</t>
        </is>
      </c>
      <c r="C10" s="2" t="n">
        <v>20</v>
      </c>
      <c r="D10" s="2" t="n">
        <v>7.86</v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3">
        <f>INDEX('08_副本材料'!$C$2:$C$31,MATCH(C10,'08_副本材料'!$A$2:$A$31,0))</f>
        <v/>
      </c>
      <c r="M10" s="3">
        <f>D10*INDEX('08_副本材料'!$E$2:$E$31,MATCH(C10,'08_副本材料'!$A$2:$A$31,0))</f>
        <v/>
      </c>
      <c r="N10" s="3">
        <f>M10*INDEX('08_副本材料'!$F$2:$F$31,MATCH(C10,'08_副本材料'!$A$2:$A$31,0))</f>
        <v/>
      </c>
      <c r="O10" s="3">
        <f>M10*INDEX('08_副本材料'!$G$2:$G$31,MATCH(C10,'08_副本材料'!$A$2:$A$31,0))</f>
        <v/>
      </c>
      <c r="P10" s="3">
        <f>M10*INDEX('08_副本材料'!$H$2:$H$31,MATCH(C10,'08_副本材料'!$A$2:$A$31,0))</f>
        <v/>
      </c>
      <c r="Q10" s="3">
        <f>D10*INDEX('08_副本材料'!$I$2:$I$31,MATCH(C10,'08_副本材料'!$A$2:$A$31,0))</f>
        <v/>
      </c>
      <c r="R10" s="3">
        <f>Q10/4</f>
        <v/>
      </c>
      <c r="S10" s="3">
        <f>M10*20%</f>
        <v/>
      </c>
      <c r="T10" s="3">
        <f>M10*55%</f>
        <v/>
      </c>
      <c r="U10" s="3">
        <f>M10*25%</f>
        <v/>
      </c>
    </row>
    <row r="11">
      <c r="A11" s="2" t="inlineStr">
        <is>
          <t>材料验算</t>
        </is>
      </c>
      <c r="B11" s="2" t="inlineStr">
        <is>
          <t>后期</t>
        </is>
      </c>
      <c r="C11" s="2" t="n">
        <v>30</v>
      </c>
      <c r="D11" s="2" t="n">
        <v>7.86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3">
        <f>INDEX('08_副本材料'!$C$2:$C$31,MATCH(C11,'08_副本材料'!$A$2:$A$31,0))</f>
        <v/>
      </c>
      <c r="M11" s="3">
        <f>D11*INDEX('08_副本材料'!$E$2:$E$31,MATCH(C11,'08_副本材料'!$A$2:$A$31,0))</f>
        <v/>
      </c>
      <c r="N11" s="3">
        <f>M11*INDEX('08_副本材料'!$F$2:$F$31,MATCH(C11,'08_副本材料'!$A$2:$A$31,0))</f>
        <v/>
      </c>
      <c r="O11" s="3">
        <f>M11*INDEX('08_副本材料'!$G$2:$G$31,MATCH(C11,'08_副本材料'!$A$2:$A$31,0))</f>
        <v/>
      </c>
      <c r="P11" s="3">
        <f>M11*INDEX('08_副本材料'!$H$2:$H$31,MATCH(C11,'08_副本材料'!$A$2:$A$31,0))</f>
        <v/>
      </c>
      <c r="Q11" s="3">
        <f>D11*INDEX('08_副本材料'!$I$2:$I$31,MATCH(C11,'08_副本材料'!$A$2:$A$31,0))</f>
        <v/>
      </c>
      <c r="R11" s="3">
        <f>Q11/4</f>
        <v/>
      </c>
      <c r="S11" s="3">
        <f>M11*20%</f>
        <v/>
      </c>
      <c r="T11" s="3">
        <f>M11*55%</f>
        <v/>
      </c>
      <c r="U11" s="3">
        <f>M11*25%</f>
        <v/>
      </c>
    </row>
  </sheetData>
  <autoFilter ref="A1:U11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最高层</t>
        </is>
      </c>
      <c r="B1" s="1" t="inlineStr">
        <is>
          <t>金币/日</t>
        </is>
      </c>
      <c r="C1" s="1" t="inlineStr">
        <is>
          <t>房车经验/日</t>
        </is>
      </c>
      <c r="D1" s="1" t="inlineStr"/>
      <c r="E1" s="1" t="inlineStr">
        <is>
          <t>最高层材料区间</t>
        </is>
      </c>
      <c r="F1" s="1" t="inlineStr">
        <is>
          <t>主材阶位</t>
        </is>
      </c>
      <c r="G1" s="1" t="inlineStr">
        <is>
          <t>打造档位等级</t>
        </is>
      </c>
      <c r="H1" s="1" t="inlineStr">
        <is>
          <t>主材总/日</t>
        </is>
      </c>
      <c r="I1" s="1" t="inlineStr">
        <is>
          <t>紫概率</t>
        </is>
      </c>
      <c r="J1" s="1" t="inlineStr">
        <is>
          <t>金概率</t>
        </is>
      </c>
      <c r="K1" s="1" t="inlineStr">
        <is>
          <t>红概率</t>
        </is>
      </c>
      <c r="L1" s="1" t="inlineStr">
        <is>
          <t>紫期望/日</t>
        </is>
      </c>
      <c r="M1" s="1" t="inlineStr">
        <is>
          <t>金期望/日</t>
        </is>
      </c>
      <c r="N1" s="1" t="inlineStr">
        <is>
          <t>红期望/日</t>
        </is>
      </c>
      <c r="O1" s="1" t="inlineStr">
        <is>
          <t>副材总/日</t>
        </is>
      </c>
      <c r="P1" s="1" t="inlineStr">
        <is>
          <t>单种副材/日</t>
        </is>
      </c>
    </row>
    <row r="2">
      <c r="A2" s="2" t="inlineStr">
        <is>
          <t>1</t>
        </is>
      </c>
      <c r="B2" s="2" t="n">
        <v>30000</v>
      </c>
      <c r="C2" s="2" t="n">
        <v>30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inlineStr">
        <is>
          <t>100</t>
        </is>
      </c>
      <c r="B3" s="2" t="n">
        <v>190000</v>
      </c>
      <c r="C3" s="2" t="n">
        <v>250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</sheetData>
  <autoFilter ref="A1:P3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锻造台Lv</t>
        </is>
      </c>
      <c r="B1" s="1" t="inlineStr">
        <is>
          <t>升下一级经验</t>
        </is>
      </c>
      <c r="C1" s="1" t="inlineStr">
        <is>
          <t>累计经验</t>
        </is>
      </c>
      <c r="D1" s="1" t="inlineStr">
        <is>
          <t>绿装经验</t>
        </is>
      </c>
      <c r="E1" s="1" t="inlineStr">
        <is>
          <t>蓝装经验</t>
        </is>
      </c>
      <c r="F1" s="1" t="inlineStr">
        <is>
          <t>紫装经验</t>
        </is>
      </c>
      <c r="G1" s="1" t="inlineStr">
        <is>
          <t>金装经验</t>
        </is>
      </c>
      <c r="H1" s="1" t="inlineStr">
        <is>
          <t>红装经验</t>
        </is>
      </c>
      <c r="I1" s="1" t="inlineStr">
        <is>
          <t>备注</t>
        </is>
      </c>
      <c r="J1" s="1" t="inlineStr"/>
      <c r="K1" s="1" t="inlineStr">
        <is>
          <t>装备等级段</t>
        </is>
      </c>
      <c r="L1" s="1" t="inlineStr">
        <is>
          <t>绿</t>
        </is>
      </c>
      <c r="M1" s="1" t="inlineStr">
        <is>
          <t>蓝</t>
        </is>
      </c>
      <c r="N1" s="1" t="inlineStr">
        <is>
          <t>紫</t>
        </is>
      </c>
      <c r="O1" s="1" t="inlineStr">
        <is>
          <t>金</t>
        </is>
      </c>
      <c r="P1" s="1" t="inlineStr">
        <is>
          <t>红</t>
        </is>
      </c>
    </row>
    <row r="2">
      <c r="A2" s="2" t="n">
        <v>1</v>
      </c>
      <c r="B2" s="2" t="n">
        <v>10</v>
      </c>
      <c r="C2" s="2" t="n">
        <v>0</v>
      </c>
      <c r="D2" s="2" t="inlineStr"/>
      <c r="E2" s="2" t="inlineStr"/>
      <c r="F2" s="2" t="inlineStr"/>
      <c r="G2" s="2" t="inlineStr"/>
      <c r="H2" s="2" t="inlineStr"/>
      <c r="I2" s="2" t="inlineStr">
        <is>
          <t>离散曲线来自沉淀MD</t>
        </is>
      </c>
      <c r="J2" s="6" t="n"/>
      <c r="K2" s="2" t="inlineStr">
        <is>
          <t>5/10</t>
        </is>
      </c>
      <c r="L2" s="2" t="n">
        <v>1</v>
      </c>
      <c r="M2" s="2" t="n">
        <v>2</v>
      </c>
      <c r="N2" s="2" t="n">
        <v>5</v>
      </c>
      <c r="O2" s="2" t="n">
        <v>12</v>
      </c>
      <c r="P2" s="2" t="n">
        <v>30</v>
      </c>
    </row>
    <row r="3">
      <c r="A3" s="2" t="n">
        <v>2</v>
      </c>
      <c r="B3" s="2" t="n">
        <v>20</v>
      </c>
      <c r="C3" s="3">
        <f>C2+B2</f>
        <v/>
      </c>
      <c r="D3" s="2" t="inlineStr"/>
      <c r="E3" s="2" t="inlineStr"/>
      <c r="F3" s="2" t="inlineStr"/>
      <c r="G3" s="2" t="inlineStr"/>
      <c r="H3" s="2" t="inlineStr"/>
      <c r="I3" s="2" t="inlineStr">
        <is>
          <t>离散曲线来自沉淀MD</t>
        </is>
      </c>
      <c r="J3" s="6" t="n"/>
      <c r="K3" s="2" t="inlineStr">
        <is>
          <t>15/20</t>
        </is>
      </c>
      <c r="L3" s="2" t="n">
        <v>2</v>
      </c>
      <c r="M3" s="2" t="n">
        <v>4</v>
      </c>
      <c r="N3" s="2" t="n">
        <v>10</v>
      </c>
      <c r="O3" s="2" t="n">
        <v>24</v>
      </c>
      <c r="P3" s="2" t="n">
        <v>60</v>
      </c>
    </row>
    <row r="4">
      <c r="A4" s="2" t="n">
        <v>3</v>
      </c>
      <c r="B4" s="2" t="n">
        <v>30</v>
      </c>
      <c r="C4" s="3">
        <f>C3+B3</f>
        <v/>
      </c>
      <c r="D4" s="2" t="inlineStr"/>
      <c r="E4" s="2" t="inlineStr"/>
      <c r="F4" s="2" t="inlineStr"/>
      <c r="G4" s="2" t="inlineStr"/>
      <c r="H4" s="2" t="inlineStr"/>
      <c r="I4" s="2" t="inlineStr">
        <is>
          <t>离散曲线来自沉淀MD</t>
        </is>
      </c>
      <c r="J4" s="6" t="n"/>
      <c r="K4" s="2" t="inlineStr">
        <is>
          <t>25/30</t>
        </is>
      </c>
      <c r="L4" s="2" t="n">
        <v>3</v>
      </c>
      <c r="M4" s="2" t="n">
        <v>6</v>
      </c>
      <c r="N4" s="2" t="n">
        <v>15</v>
      </c>
      <c r="O4" s="2" t="n">
        <v>36</v>
      </c>
      <c r="P4" s="2" t="n">
        <v>90</v>
      </c>
    </row>
    <row r="5">
      <c r="A5" s="2" t="n">
        <v>4</v>
      </c>
      <c r="B5" s="2" t="n">
        <v>40</v>
      </c>
      <c r="C5" s="3">
        <f>C4+B4</f>
        <v/>
      </c>
      <c r="D5" s="2" t="inlineStr"/>
      <c r="E5" s="2" t="inlineStr"/>
      <c r="F5" s="2" t="inlineStr"/>
      <c r="G5" s="2" t="inlineStr"/>
      <c r="H5" s="2" t="inlineStr"/>
      <c r="I5" s="2" t="inlineStr">
        <is>
          <t>离散曲线来自沉淀MD</t>
        </is>
      </c>
      <c r="J5" s="6" t="n"/>
      <c r="K5" s="2" t="inlineStr">
        <is>
          <t>35/40</t>
        </is>
      </c>
      <c r="L5" s="2" t="n">
        <v>4</v>
      </c>
      <c r="M5" s="2" t="n">
        <v>8</v>
      </c>
      <c r="N5" s="2" t="n">
        <v>20</v>
      </c>
      <c r="O5" s="2" t="n">
        <v>48</v>
      </c>
      <c r="P5" s="2" t="n">
        <v>120</v>
      </c>
    </row>
    <row r="6">
      <c r="A6" s="2" t="n">
        <v>5</v>
      </c>
      <c r="B6" s="2" t="n">
        <v>50</v>
      </c>
      <c r="C6" s="3">
        <f>C5+B5</f>
        <v/>
      </c>
      <c r="D6" s="2" t="inlineStr"/>
      <c r="E6" s="2" t="inlineStr"/>
      <c r="F6" s="2" t="inlineStr"/>
      <c r="G6" s="2" t="inlineStr"/>
      <c r="H6" s="2" t="inlineStr"/>
      <c r="I6" s="2" t="inlineStr">
        <is>
          <t>离散曲线来自沉淀MD</t>
        </is>
      </c>
      <c r="J6" s="6" t="n"/>
      <c r="K6" s="2" t="inlineStr">
        <is>
          <t>45/50</t>
        </is>
      </c>
      <c r="L6" s="2" t="n">
        <v>5</v>
      </c>
      <c r="M6" s="2" t="n">
        <v>10</v>
      </c>
      <c r="N6" s="2" t="n">
        <v>25</v>
      </c>
      <c r="O6" s="2" t="n">
        <v>60</v>
      </c>
      <c r="P6" s="2" t="n">
        <v>150</v>
      </c>
    </row>
    <row r="7">
      <c r="A7" s="2" t="n">
        <v>6</v>
      </c>
      <c r="B7" s="2" t="n">
        <v>60</v>
      </c>
      <c r="C7" s="3">
        <f>C6+B6</f>
        <v/>
      </c>
      <c r="D7" s="2" t="inlineStr"/>
      <c r="E7" s="2" t="inlineStr"/>
      <c r="F7" s="2" t="inlineStr"/>
      <c r="G7" s="2" t="inlineStr"/>
      <c r="H7" s="2" t="inlineStr"/>
      <c r="I7" s="2" t="inlineStr">
        <is>
          <t>离散曲线来自沉淀MD</t>
        </is>
      </c>
      <c r="J7" s="6" t="n"/>
      <c r="K7" s="2" t="inlineStr">
        <is>
          <t>55/60</t>
        </is>
      </c>
      <c r="L7" s="2" t="n">
        <v>6</v>
      </c>
      <c r="M7" s="2" t="n">
        <v>12</v>
      </c>
      <c r="N7" s="2" t="n">
        <v>30</v>
      </c>
      <c r="O7" s="2" t="n">
        <v>72</v>
      </c>
      <c r="P7" s="2" t="n">
        <v>180</v>
      </c>
    </row>
    <row r="8">
      <c r="A8" s="2" t="n">
        <v>7</v>
      </c>
      <c r="B8" s="2" t="n">
        <v>70</v>
      </c>
      <c r="C8" s="3">
        <f>C7+B7</f>
        <v/>
      </c>
      <c r="D8" s="2" t="inlineStr"/>
      <c r="E8" s="2" t="inlineStr"/>
      <c r="F8" s="2" t="inlineStr"/>
      <c r="G8" s="2" t="inlineStr"/>
      <c r="H8" s="2" t="inlineStr"/>
      <c r="I8" s="2" t="inlineStr">
        <is>
          <t>离散曲线来自沉淀MD</t>
        </is>
      </c>
      <c r="J8" s="6" t="n"/>
      <c r="K8" s="6" t="n"/>
      <c r="L8" s="6" t="n"/>
      <c r="M8" s="6" t="n"/>
      <c r="N8" s="6" t="n"/>
      <c r="O8" s="6" t="n"/>
      <c r="P8" s="6" t="n"/>
    </row>
    <row r="9">
      <c r="A9" s="2" t="n">
        <v>8</v>
      </c>
      <c r="B9" s="2" t="n">
        <v>100</v>
      </c>
      <c r="C9" s="3">
        <f>C8+B8</f>
        <v/>
      </c>
      <c r="D9" s="2" t="inlineStr"/>
      <c r="E9" s="2" t="inlineStr"/>
      <c r="F9" s="2" t="inlineStr"/>
      <c r="G9" s="2" t="inlineStr"/>
      <c r="H9" s="2" t="inlineStr"/>
      <c r="I9" s="2" t="inlineStr">
        <is>
          <t>离散曲线来自沉淀MD</t>
        </is>
      </c>
      <c r="J9" s="6" t="n"/>
      <c r="K9" s="6" t="n"/>
      <c r="L9" s="6" t="n"/>
      <c r="M9" s="6" t="n"/>
      <c r="N9" s="6" t="n"/>
      <c r="O9" s="6" t="n"/>
      <c r="P9" s="6" t="n"/>
    </row>
    <row r="10">
      <c r="A10" s="2" t="n">
        <v>9</v>
      </c>
      <c r="B10" s="2" t="n">
        <v>120</v>
      </c>
      <c r="C10" s="3">
        <f>C9+B9</f>
        <v/>
      </c>
      <c r="D10" s="2" t="inlineStr"/>
      <c r="E10" s="2" t="inlineStr"/>
      <c r="F10" s="2" t="inlineStr"/>
      <c r="G10" s="2" t="inlineStr"/>
      <c r="H10" s="2" t="inlineStr"/>
      <c r="I10" s="2" t="inlineStr">
        <is>
          <t>离散曲线来自沉淀MD</t>
        </is>
      </c>
      <c r="J10" s="6" t="n"/>
      <c r="K10" s="6" t="n"/>
      <c r="L10" s="6" t="n"/>
      <c r="M10" s="6" t="n"/>
      <c r="N10" s="6" t="n"/>
      <c r="O10" s="6" t="n"/>
      <c r="P10" s="6" t="n"/>
    </row>
    <row r="11">
      <c r="A11" s="2" t="n">
        <v>10</v>
      </c>
      <c r="B11" s="2" t="n">
        <v>130</v>
      </c>
      <c r="C11" s="3">
        <f>C10+B10</f>
        <v/>
      </c>
      <c r="D11" s="2" t="inlineStr"/>
      <c r="E11" s="2" t="inlineStr"/>
      <c r="F11" s="2" t="inlineStr"/>
      <c r="G11" s="2" t="inlineStr"/>
      <c r="H11" s="2" t="inlineStr"/>
      <c r="I11" s="2" t="inlineStr">
        <is>
          <t>离散曲线来自沉淀MD</t>
        </is>
      </c>
      <c r="J11" s="6" t="n"/>
      <c r="K11" s="6" t="n"/>
      <c r="L11" s="6" t="n"/>
      <c r="M11" s="6" t="n"/>
      <c r="N11" s="6" t="n"/>
      <c r="O11" s="6" t="n"/>
      <c r="P11" s="6" t="n"/>
    </row>
    <row r="12">
      <c r="A12" s="2" t="n">
        <v>11</v>
      </c>
      <c r="B12" s="2" t="n">
        <v>140</v>
      </c>
      <c r="C12" s="3">
        <f>C11+B11</f>
        <v/>
      </c>
      <c r="D12" s="2" t="inlineStr"/>
      <c r="E12" s="2" t="inlineStr"/>
      <c r="F12" s="2" t="inlineStr"/>
      <c r="G12" s="2" t="inlineStr"/>
      <c r="H12" s="2" t="inlineStr"/>
      <c r="I12" s="2" t="inlineStr">
        <is>
          <t>离散曲线来自沉淀MD</t>
        </is>
      </c>
      <c r="J12" s="6" t="n"/>
      <c r="K12" s="6" t="n"/>
      <c r="L12" s="6" t="n"/>
      <c r="M12" s="6" t="n"/>
      <c r="N12" s="6" t="n"/>
      <c r="O12" s="6" t="n"/>
      <c r="P12" s="6" t="n"/>
    </row>
    <row r="13">
      <c r="A13" s="2" t="n">
        <v>12</v>
      </c>
      <c r="B13" s="2" t="n">
        <v>160</v>
      </c>
      <c r="C13" s="3">
        <f>C12+B12</f>
        <v/>
      </c>
      <c r="D13" s="2" t="inlineStr"/>
      <c r="E13" s="2" t="inlineStr"/>
      <c r="F13" s="2" t="inlineStr"/>
      <c r="G13" s="2" t="inlineStr"/>
      <c r="H13" s="2" t="inlineStr"/>
      <c r="I13" s="2" t="inlineStr">
        <is>
          <t>离散曲线来自沉淀MD</t>
        </is>
      </c>
      <c r="J13" s="6" t="n"/>
      <c r="K13" s="6" t="n"/>
      <c r="L13" s="6" t="n"/>
      <c r="M13" s="6" t="n"/>
      <c r="N13" s="6" t="n"/>
      <c r="O13" s="6" t="n"/>
      <c r="P13" s="6" t="n"/>
    </row>
    <row r="14">
      <c r="A14" s="2" t="n">
        <v>13</v>
      </c>
      <c r="B14" s="2" t="n">
        <v>180</v>
      </c>
      <c r="C14" s="3">
        <f>C13+B13</f>
        <v/>
      </c>
      <c r="D14" s="2" t="inlineStr"/>
      <c r="E14" s="2" t="inlineStr"/>
      <c r="F14" s="2" t="inlineStr"/>
      <c r="G14" s="2" t="inlineStr"/>
      <c r="H14" s="2" t="inlineStr"/>
      <c r="I14" s="2" t="inlineStr">
        <is>
          <t>离散曲线来自沉淀MD</t>
        </is>
      </c>
      <c r="J14" s="6" t="n"/>
      <c r="K14" s="6" t="n"/>
      <c r="L14" s="6" t="n"/>
      <c r="M14" s="6" t="n"/>
      <c r="N14" s="6" t="n"/>
      <c r="O14" s="6" t="n"/>
      <c r="P14" s="6" t="n"/>
    </row>
    <row r="15">
      <c r="A15" s="2" t="n">
        <v>14</v>
      </c>
      <c r="B15" s="2" t="n">
        <v>190</v>
      </c>
      <c r="C15" s="3">
        <f>C14+B14</f>
        <v/>
      </c>
      <c r="D15" s="2" t="inlineStr"/>
      <c r="E15" s="2" t="inlineStr"/>
      <c r="F15" s="2" t="inlineStr"/>
      <c r="G15" s="2" t="inlineStr"/>
      <c r="H15" s="2" t="inlineStr"/>
      <c r="I15" s="2" t="inlineStr">
        <is>
          <t>离散曲线来自沉淀MD</t>
        </is>
      </c>
      <c r="J15" s="6" t="n"/>
      <c r="K15" s="6" t="n"/>
      <c r="L15" s="6" t="n"/>
      <c r="M15" s="6" t="n"/>
      <c r="N15" s="6" t="n"/>
      <c r="O15" s="6" t="n"/>
      <c r="P15" s="6" t="n"/>
    </row>
    <row r="16">
      <c r="A16" s="2" t="n">
        <v>15</v>
      </c>
      <c r="B16" s="2" t="n">
        <v>210</v>
      </c>
      <c r="C16" s="3">
        <f>C15+B15</f>
        <v/>
      </c>
      <c r="D16" s="2" t="inlineStr"/>
      <c r="E16" s="2" t="inlineStr"/>
      <c r="F16" s="2" t="inlineStr"/>
      <c r="G16" s="2" t="inlineStr"/>
      <c r="H16" s="2" t="inlineStr"/>
      <c r="I16" s="2" t="inlineStr">
        <is>
          <t>离散曲线来自沉淀MD</t>
        </is>
      </c>
      <c r="J16" s="6" t="n"/>
      <c r="K16" s="6" t="n"/>
      <c r="L16" s="6" t="n"/>
      <c r="M16" s="6" t="n"/>
      <c r="N16" s="6" t="n"/>
      <c r="O16" s="6" t="n"/>
      <c r="P16" s="6" t="n"/>
    </row>
    <row r="17">
      <c r="A17" s="2" t="n">
        <v>16</v>
      </c>
      <c r="B17" s="2" t="n">
        <v>220</v>
      </c>
      <c r="C17" s="3">
        <f>C16+B16</f>
        <v/>
      </c>
      <c r="D17" s="2" t="inlineStr"/>
      <c r="E17" s="2" t="inlineStr"/>
      <c r="F17" s="2" t="inlineStr"/>
      <c r="G17" s="2" t="inlineStr"/>
      <c r="H17" s="2" t="inlineStr"/>
      <c r="I17" s="2" t="inlineStr">
        <is>
          <t>离散曲线来自沉淀MD</t>
        </is>
      </c>
      <c r="J17" s="6" t="n"/>
      <c r="K17" s="6" t="n"/>
      <c r="L17" s="6" t="n"/>
      <c r="M17" s="6" t="n"/>
      <c r="N17" s="6" t="n"/>
      <c r="O17" s="6" t="n"/>
      <c r="P17" s="6" t="n"/>
    </row>
    <row r="18">
      <c r="A18" s="2" t="n">
        <v>17</v>
      </c>
      <c r="B18" s="2" t="n">
        <v>240</v>
      </c>
      <c r="C18" s="3">
        <f>C17+B17</f>
        <v/>
      </c>
      <c r="D18" s="2" t="inlineStr"/>
      <c r="E18" s="2" t="inlineStr"/>
      <c r="F18" s="2" t="inlineStr"/>
      <c r="G18" s="2" t="inlineStr"/>
      <c r="H18" s="2" t="inlineStr"/>
      <c r="I18" s="2" t="inlineStr">
        <is>
          <t>离散曲线来自沉淀MD</t>
        </is>
      </c>
      <c r="J18" s="6" t="n"/>
      <c r="K18" s="6" t="n"/>
      <c r="L18" s="6" t="n"/>
      <c r="M18" s="6" t="n"/>
      <c r="N18" s="6" t="n"/>
      <c r="O18" s="6" t="n"/>
      <c r="P18" s="6" t="n"/>
    </row>
    <row r="19">
      <c r="A19" s="2" t="n">
        <v>18</v>
      </c>
      <c r="B19" s="2" t="n">
        <v>250</v>
      </c>
      <c r="C19" s="3">
        <f>C18+B18</f>
        <v/>
      </c>
      <c r="D19" s="2" t="inlineStr"/>
      <c r="E19" s="2" t="inlineStr"/>
      <c r="F19" s="2" t="inlineStr"/>
      <c r="G19" s="2" t="inlineStr"/>
      <c r="H19" s="2" t="inlineStr"/>
      <c r="I19" s="2" t="inlineStr">
        <is>
          <t>离散曲线来自沉淀MD</t>
        </is>
      </c>
      <c r="J19" s="6" t="n"/>
      <c r="K19" s="6" t="n"/>
      <c r="L19" s="6" t="n"/>
      <c r="M19" s="6" t="n"/>
      <c r="N19" s="6" t="n"/>
      <c r="O19" s="6" t="n"/>
      <c r="P19" s="6" t="n"/>
    </row>
    <row r="20">
      <c r="A20" s="2" t="n">
        <v>19</v>
      </c>
      <c r="B20" s="2" t="n">
        <v>280</v>
      </c>
      <c r="C20" s="3">
        <f>C19+B19</f>
        <v/>
      </c>
      <c r="D20" s="2" t="inlineStr"/>
      <c r="E20" s="2" t="inlineStr"/>
      <c r="F20" s="2" t="inlineStr"/>
      <c r="G20" s="2" t="inlineStr"/>
      <c r="H20" s="2" t="inlineStr"/>
      <c r="I20" s="2" t="inlineStr">
        <is>
          <t>离散曲线来自沉淀MD</t>
        </is>
      </c>
      <c r="J20" s="6" t="n"/>
      <c r="K20" s="6" t="n"/>
      <c r="L20" s="6" t="n"/>
      <c r="M20" s="6" t="n"/>
      <c r="N20" s="6" t="n"/>
      <c r="O20" s="6" t="n"/>
      <c r="P20" s="6" t="n"/>
    </row>
    <row r="21">
      <c r="A21" s="2" t="n">
        <v>20</v>
      </c>
      <c r="B21" s="2" t="n">
        <v>350</v>
      </c>
      <c r="C21" s="3">
        <f>C20+B20</f>
        <v/>
      </c>
      <c r="D21" s="2" t="inlineStr"/>
      <c r="E21" s="2" t="inlineStr"/>
      <c r="F21" s="2" t="inlineStr"/>
      <c r="G21" s="2" t="inlineStr"/>
      <c r="H21" s="2" t="inlineStr"/>
      <c r="I21" s="2" t="inlineStr">
        <is>
          <t>离散曲线来自沉淀MD</t>
        </is>
      </c>
      <c r="J21" s="6" t="n"/>
      <c r="K21" s="6" t="n"/>
      <c r="L21" s="6" t="n"/>
      <c r="M21" s="6" t="n"/>
      <c r="N21" s="6" t="n"/>
      <c r="O21" s="6" t="n"/>
      <c r="P21" s="6" t="n"/>
    </row>
    <row r="22">
      <c r="A22" s="2" t="n">
        <v>21</v>
      </c>
      <c r="B22" s="2" t="n">
        <v>400</v>
      </c>
      <c r="C22" s="3">
        <f>C21+B21</f>
        <v/>
      </c>
      <c r="D22" s="2" t="inlineStr"/>
      <c r="E22" s="2" t="inlineStr"/>
      <c r="F22" s="2" t="inlineStr"/>
      <c r="G22" s="2" t="inlineStr"/>
      <c r="H22" s="2" t="inlineStr"/>
      <c r="I22" s="2" t="inlineStr">
        <is>
          <t>离散曲线来自沉淀MD</t>
        </is>
      </c>
      <c r="J22" s="6" t="n"/>
      <c r="K22" s="6" t="n"/>
      <c r="L22" s="6" t="n"/>
      <c r="M22" s="6" t="n"/>
      <c r="N22" s="6" t="n"/>
      <c r="O22" s="6" t="n"/>
      <c r="P22" s="6" t="n"/>
    </row>
    <row r="23">
      <c r="A23" s="2" t="n">
        <v>22</v>
      </c>
      <c r="B23" s="2" t="n">
        <v>450</v>
      </c>
      <c r="C23" s="3">
        <f>C22+B22</f>
        <v/>
      </c>
      <c r="D23" s="2" t="inlineStr"/>
      <c r="E23" s="2" t="inlineStr"/>
      <c r="F23" s="2" t="inlineStr"/>
      <c r="G23" s="2" t="inlineStr"/>
      <c r="H23" s="2" t="inlineStr"/>
      <c r="I23" s="2" t="inlineStr">
        <is>
          <t>离散曲线来自沉淀MD</t>
        </is>
      </c>
      <c r="J23" s="6" t="n"/>
      <c r="K23" s="6" t="n"/>
      <c r="L23" s="6" t="n"/>
      <c r="M23" s="6" t="n"/>
      <c r="N23" s="6" t="n"/>
      <c r="O23" s="6" t="n"/>
      <c r="P23" s="6" t="n"/>
    </row>
    <row r="24">
      <c r="A24" s="2" t="n">
        <v>23</v>
      </c>
      <c r="B24" s="2" t="n">
        <v>500</v>
      </c>
      <c r="C24" s="3">
        <f>C23+B23</f>
        <v/>
      </c>
      <c r="D24" s="2" t="inlineStr"/>
      <c r="E24" s="2" t="inlineStr"/>
      <c r="F24" s="2" t="inlineStr"/>
      <c r="G24" s="2" t="inlineStr"/>
      <c r="H24" s="2" t="inlineStr"/>
      <c r="I24" s="2" t="inlineStr">
        <is>
          <t>离散曲线来自沉淀MD</t>
        </is>
      </c>
      <c r="J24" s="6" t="n"/>
      <c r="K24" s="6" t="n"/>
      <c r="L24" s="6" t="n"/>
      <c r="M24" s="6" t="n"/>
      <c r="N24" s="6" t="n"/>
      <c r="O24" s="6" t="n"/>
      <c r="P24" s="6" t="n"/>
    </row>
    <row r="25">
      <c r="A25" s="2" t="n">
        <v>24</v>
      </c>
      <c r="B25" s="2" t="n">
        <v>550</v>
      </c>
      <c r="C25" s="3">
        <f>C24+B24</f>
        <v/>
      </c>
      <c r="D25" s="2" t="inlineStr"/>
      <c r="E25" s="2" t="inlineStr"/>
      <c r="F25" s="2" t="inlineStr"/>
      <c r="G25" s="2" t="inlineStr"/>
      <c r="H25" s="2" t="inlineStr"/>
      <c r="I25" s="2" t="inlineStr">
        <is>
          <t>离散曲线来自沉淀MD</t>
        </is>
      </c>
      <c r="J25" s="6" t="n"/>
      <c r="K25" s="6" t="n"/>
      <c r="L25" s="6" t="n"/>
      <c r="M25" s="6" t="n"/>
      <c r="N25" s="6" t="n"/>
      <c r="O25" s="6" t="n"/>
      <c r="P25" s="6" t="n"/>
    </row>
    <row r="26">
      <c r="A26" s="2" t="n">
        <v>25</v>
      </c>
      <c r="B26" s="2" t="n">
        <v>650</v>
      </c>
      <c r="C26" s="3">
        <f>C25+B25</f>
        <v/>
      </c>
      <c r="D26" s="2" t="inlineStr"/>
      <c r="E26" s="2" t="inlineStr"/>
      <c r="F26" s="2" t="inlineStr"/>
      <c r="G26" s="2" t="inlineStr"/>
      <c r="H26" s="2" t="inlineStr"/>
      <c r="I26" s="2" t="inlineStr">
        <is>
          <t>离散曲线来自沉淀MD</t>
        </is>
      </c>
      <c r="J26" s="6" t="n"/>
      <c r="K26" s="6" t="n"/>
      <c r="L26" s="6" t="n"/>
      <c r="M26" s="6" t="n"/>
      <c r="N26" s="6" t="n"/>
      <c r="O26" s="6" t="n"/>
      <c r="P26" s="6" t="n"/>
    </row>
    <row r="27">
      <c r="A27" s="2" t="n">
        <v>26</v>
      </c>
      <c r="B27" s="2" t="n">
        <v>750</v>
      </c>
      <c r="C27" s="3">
        <f>C26+B26</f>
        <v/>
      </c>
      <c r="D27" s="2" t="inlineStr"/>
      <c r="E27" s="2" t="inlineStr"/>
      <c r="F27" s="2" t="inlineStr"/>
      <c r="G27" s="2" t="inlineStr"/>
      <c r="H27" s="2" t="inlineStr"/>
      <c r="I27" s="2" t="inlineStr">
        <is>
          <t>离散曲线来自沉淀MD</t>
        </is>
      </c>
      <c r="J27" s="6" t="n"/>
      <c r="K27" s="6" t="n"/>
      <c r="L27" s="6" t="n"/>
      <c r="M27" s="6" t="n"/>
      <c r="N27" s="6" t="n"/>
      <c r="O27" s="6" t="n"/>
      <c r="P27" s="6" t="n"/>
    </row>
    <row r="28">
      <c r="A28" s="2" t="n">
        <v>27</v>
      </c>
      <c r="B28" s="2" t="n">
        <v>850</v>
      </c>
      <c r="C28" s="3">
        <f>C27+B27</f>
        <v/>
      </c>
      <c r="D28" s="2" t="inlineStr"/>
      <c r="E28" s="2" t="inlineStr"/>
      <c r="F28" s="2" t="inlineStr"/>
      <c r="G28" s="2" t="inlineStr"/>
      <c r="H28" s="2" t="inlineStr"/>
      <c r="I28" s="2" t="inlineStr">
        <is>
          <t>离散曲线来自沉淀MD</t>
        </is>
      </c>
      <c r="J28" s="6" t="n"/>
      <c r="K28" s="6" t="n"/>
      <c r="L28" s="6" t="n"/>
      <c r="M28" s="6" t="n"/>
      <c r="N28" s="6" t="n"/>
      <c r="O28" s="6" t="n"/>
      <c r="P28" s="6" t="n"/>
    </row>
    <row r="29">
      <c r="A29" s="2" t="n">
        <v>28</v>
      </c>
      <c r="B29" s="2" t="n">
        <v>950</v>
      </c>
      <c r="C29" s="3">
        <f>C28+B28</f>
        <v/>
      </c>
      <c r="D29" s="2" t="inlineStr"/>
      <c r="E29" s="2" t="inlineStr"/>
      <c r="F29" s="2" t="inlineStr"/>
      <c r="G29" s="2" t="inlineStr"/>
      <c r="H29" s="2" t="inlineStr"/>
      <c r="I29" s="2" t="inlineStr">
        <is>
          <t>离散曲线来自沉淀MD</t>
        </is>
      </c>
      <c r="J29" s="6" t="n"/>
      <c r="K29" s="6" t="n"/>
      <c r="L29" s="6" t="n"/>
      <c r="M29" s="6" t="n"/>
      <c r="N29" s="6" t="n"/>
      <c r="O29" s="6" t="n"/>
      <c r="P29" s="6" t="n"/>
    </row>
    <row r="30">
      <c r="A30" s="2" t="n">
        <v>29</v>
      </c>
      <c r="B30" s="2" t="n">
        <v>1050</v>
      </c>
      <c r="C30" s="3">
        <f>C29+B29</f>
        <v/>
      </c>
      <c r="D30" s="2" t="inlineStr"/>
      <c r="E30" s="2" t="inlineStr"/>
      <c r="F30" s="2" t="inlineStr"/>
      <c r="G30" s="2" t="inlineStr"/>
      <c r="H30" s="2" t="inlineStr"/>
      <c r="I30" s="2" t="inlineStr">
        <is>
          <t>离散曲线来自沉淀MD</t>
        </is>
      </c>
      <c r="J30" s="6" t="n"/>
      <c r="K30" s="6" t="n"/>
      <c r="L30" s="6" t="n"/>
      <c r="M30" s="6" t="n"/>
      <c r="N30" s="6" t="n"/>
      <c r="O30" s="6" t="n"/>
      <c r="P30" s="6" t="n"/>
    </row>
    <row r="31">
      <c r="A31" s="2" t="n">
        <v>30</v>
      </c>
      <c r="B31" s="2" t="n">
        <v>1130</v>
      </c>
      <c r="C31" s="3">
        <f>C30+B30</f>
        <v/>
      </c>
      <c r="D31" s="2" t="inlineStr"/>
      <c r="E31" s="2" t="inlineStr"/>
      <c r="F31" s="2" t="inlineStr"/>
      <c r="G31" s="2" t="inlineStr"/>
      <c r="H31" s="2" t="inlineStr"/>
      <c r="I31" s="2" t="inlineStr">
        <is>
          <t>离散曲线来自沉淀MD</t>
        </is>
      </c>
      <c r="J31" s="6" t="n"/>
      <c r="K31" s="6" t="n"/>
      <c r="L31" s="6" t="n"/>
      <c r="M31" s="6" t="n"/>
      <c r="N31" s="6" t="n"/>
      <c r="O31" s="6" t="n"/>
      <c r="P31" s="6" t="n"/>
    </row>
    <row r="32">
      <c r="A32" s="2" t="n">
        <v>31</v>
      </c>
      <c r="B32" s="2" t="n">
        <v>1190</v>
      </c>
      <c r="C32" s="3">
        <f>C31+B31</f>
        <v/>
      </c>
      <c r="D32" s="2" t="inlineStr"/>
      <c r="E32" s="2" t="inlineStr"/>
      <c r="F32" s="2" t="inlineStr"/>
      <c r="G32" s="2" t="inlineStr"/>
      <c r="H32" s="2" t="inlineStr"/>
      <c r="I32" s="2" t="inlineStr">
        <is>
          <t>离散曲线来自沉淀MD</t>
        </is>
      </c>
      <c r="J32" s="6" t="n"/>
      <c r="K32" s="6" t="n"/>
      <c r="L32" s="6" t="n"/>
      <c r="M32" s="6" t="n"/>
      <c r="N32" s="6" t="n"/>
      <c r="O32" s="6" t="n"/>
      <c r="P32" s="6" t="n"/>
    </row>
    <row r="33">
      <c r="A33" s="2" t="n">
        <v>32</v>
      </c>
      <c r="B33" s="2" t="n">
        <v>1250</v>
      </c>
      <c r="C33" s="3">
        <f>C32+B32</f>
        <v/>
      </c>
      <c r="D33" s="2" t="inlineStr"/>
      <c r="E33" s="2" t="inlineStr"/>
      <c r="F33" s="2" t="inlineStr"/>
      <c r="G33" s="2" t="inlineStr"/>
      <c r="H33" s="2" t="inlineStr"/>
      <c r="I33" s="2" t="inlineStr">
        <is>
          <t>离散曲线来自沉淀MD</t>
        </is>
      </c>
      <c r="J33" s="6" t="n"/>
      <c r="K33" s="6" t="n"/>
      <c r="L33" s="6" t="n"/>
      <c r="M33" s="6" t="n"/>
      <c r="N33" s="6" t="n"/>
      <c r="O33" s="6" t="n"/>
      <c r="P33" s="6" t="n"/>
    </row>
    <row r="34">
      <c r="A34" s="2" t="n">
        <v>33</v>
      </c>
      <c r="B34" s="2" t="n">
        <v>1310</v>
      </c>
      <c r="C34" s="3">
        <f>C33+B33</f>
        <v/>
      </c>
      <c r="D34" s="2" t="inlineStr"/>
      <c r="E34" s="2" t="inlineStr"/>
      <c r="F34" s="2" t="inlineStr"/>
      <c r="G34" s="2" t="inlineStr"/>
      <c r="H34" s="2" t="inlineStr"/>
      <c r="I34" s="2" t="inlineStr">
        <is>
          <t>离散曲线来自沉淀MD</t>
        </is>
      </c>
      <c r="J34" s="6" t="n"/>
      <c r="K34" s="6" t="n"/>
      <c r="L34" s="6" t="n"/>
      <c r="M34" s="6" t="n"/>
      <c r="N34" s="6" t="n"/>
      <c r="O34" s="6" t="n"/>
      <c r="P34" s="6" t="n"/>
    </row>
    <row r="35">
      <c r="A35" s="2" t="n">
        <v>34</v>
      </c>
      <c r="B35" s="2" t="n">
        <v>1370</v>
      </c>
      <c r="C35" s="3">
        <f>C34+B34</f>
        <v/>
      </c>
      <c r="D35" s="2" t="inlineStr"/>
      <c r="E35" s="2" t="inlineStr"/>
      <c r="F35" s="2" t="inlineStr"/>
      <c r="G35" s="2" t="inlineStr"/>
      <c r="H35" s="2" t="inlineStr"/>
      <c r="I35" s="2" t="inlineStr">
        <is>
          <t>离散曲线来自沉淀MD</t>
        </is>
      </c>
      <c r="J35" s="6" t="n"/>
      <c r="K35" s="6" t="n"/>
      <c r="L35" s="6" t="n"/>
      <c r="M35" s="6" t="n"/>
      <c r="N35" s="6" t="n"/>
      <c r="O35" s="6" t="n"/>
      <c r="P35" s="6" t="n"/>
    </row>
    <row r="36">
      <c r="A36" s="2" t="n">
        <v>35</v>
      </c>
      <c r="B36" s="2" t="n">
        <v>1430</v>
      </c>
      <c r="C36" s="3">
        <f>C35+B35</f>
        <v/>
      </c>
      <c r="D36" s="2" t="inlineStr"/>
      <c r="E36" s="2" t="inlineStr"/>
      <c r="F36" s="2" t="inlineStr"/>
      <c r="G36" s="2" t="inlineStr"/>
      <c r="H36" s="2" t="inlineStr"/>
      <c r="I36" s="2" t="inlineStr">
        <is>
          <t>离散曲线来自沉淀MD</t>
        </is>
      </c>
      <c r="J36" s="6" t="n"/>
      <c r="K36" s="6" t="n"/>
      <c r="L36" s="6" t="n"/>
      <c r="M36" s="6" t="n"/>
      <c r="N36" s="6" t="n"/>
      <c r="O36" s="6" t="n"/>
      <c r="P36" s="6" t="n"/>
    </row>
    <row r="37">
      <c r="A37" s="2" t="n">
        <v>36</v>
      </c>
      <c r="B37" s="2" t="n">
        <v>1490</v>
      </c>
      <c r="C37" s="3">
        <f>C36+B36</f>
        <v/>
      </c>
      <c r="D37" s="2" t="inlineStr"/>
      <c r="E37" s="2" t="inlineStr"/>
      <c r="F37" s="2" t="inlineStr"/>
      <c r="G37" s="2" t="inlineStr"/>
      <c r="H37" s="2" t="inlineStr"/>
      <c r="I37" s="2" t="inlineStr">
        <is>
          <t>离散曲线来自沉淀MD</t>
        </is>
      </c>
      <c r="J37" s="6" t="n"/>
      <c r="K37" s="6" t="n"/>
      <c r="L37" s="6" t="n"/>
      <c r="M37" s="6" t="n"/>
      <c r="N37" s="6" t="n"/>
      <c r="O37" s="6" t="n"/>
      <c r="P37" s="6" t="n"/>
    </row>
    <row r="38">
      <c r="A38" s="2" t="n">
        <v>37</v>
      </c>
      <c r="B38" s="2" t="n">
        <v>1550</v>
      </c>
      <c r="C38" s="3">
        <f>C37+B37</f>
        <v/>
      </c>
      <c r="D38" s="2" t="inlineStr"/>
      <c r="E38" s="2" t="inlineStr"/>
      <c r="F38" s="2" t="inlineStr"/>
      <c r="G38" s="2" t="inlineStr"/>
      <c r="H38" s="2" t="inlineStr"/>
      <c r="I38" s="2" t="inlineStr">
        <is>
          <t>离散曲线来自沉淀MD</t>
        </is>
      </c>
      <c r="J38" s="6" t="n"/>
      <c r="K38" s="6" t="n"/>
      <c r="L38" s="6" t="n"/>
      <c r="M38" s="6" t="n"/>
      <c r="N38" s="6" t="n"/>
      <c r="O38" s="6" t="n"/>
      <c r="P38" s="6" t="n"/>
    </row>
    <row r="39">
      <c r="A39" s="2" t="n">
        <v>38</v>
      </c>
      <c r="B39" s="2" t="n">
        <v>1610</v>
      </c>
      <c r="C39" s="3">
        <f>C38+B38</f>
        <v/>
      </c>
      <c r="D39" s="2" t="inlineStr"/>
      <c r="E39" s="2" t="inlineStr"/>
      <c r="F39" s="2" t="inlineStr"/>
      <c r="G39" s="2" t="inlineStr"/>
      <c r="H39" s="2" t="inlineStr"/>
      <c r="I39" s="2" t="inlineStr">
        <is>
          <t>离散曲线来自沉淀MD</t>
        </is>
      </c>
      <c r="J39" s="6" t="n"/>
      <c r="K39" s="6" t="n"/>
      <c r="L39" s="6" t="n"/>
      <c r="M39" s="6" t="n"/>
      <c r="N39" s="6" t="n"/>
      <c r="O39" s="6" t="n"/>
      <c r="P39" s="6" t="n"/>
    </row>
    <row r="40">
      <c r="A40" s="2" t="n">
        <v>39</v>
      </c>
      <c r="B40" s="2" t="n">
        <v>1670</v>
      </c>
      <c r="C40" s="3">
        <f>C39+B39</f>
        <v/>
      </c>
      <c r="D40" s="2" t="inlineStr"/>
      <c r="E40" s="2" t="inlineStr"/>
      <c r="F40" s="2" t="inlineStr"/>
      <c r="G40" s="2" t="inlineStr"/>
      <c r="H40" s="2" t="inlineStr"/>
      <c r="I40" s="2" t="inlineStr">
        <is>
          <t>离散曲线来自沉淀MD</t>
        </is>
      </c>
      <c r="J40" s="6" t="n"/>
      <c r="K40" s="6" t="n"/>
      <c r="L40" s="6" t="n"/>
      <c r="M40" s="6" t="n"/>
      <c r="N40" s="6" t="n"/>
      <c r="O40" s="6" t="n"/>
      <c r="P40" s="6" t="n"/>
    </row>
    <row r="41">
      <c r="A41" s="2" t="n">
        <v>40</v>
      </c>
      <c r="B41" s="2" t="n">
        <v>2000</v>
      </c>
      <c r="C41" s="3">
        <f>C40+B40</f>
        <v/>
      </c>
      <c r="D41" s="2" t="inlineStr"/>
      <c r="E41" s="2" t="inlineStr"/>
      <c r="F41" s="2" t="inlineStr"/>
      <c r="G41" s="2" t="inlineStr"/>
      <c r="H41" s="2" t="inlineStr"/>
      <c r="I41" s="2" t="inlineStr">
        <is>
          <t>离散曲线来自沉淀MD</t>
        </is>
      </c>
      <c r="J41" s="6" t="n"/>
      <c r="K41" s="6" t="n"/>
      <c r="L41" s="6" t="n"/>
      <c r="M41" s="6" t="n"/>
      <c r="N41" s="6" t="n"/>
      <c r="O41" s="6" t="n"/>
      <c r="P41" s="6" t="n"/>
    </row>
    <row r="42">
      <c r="A42" s="2" t="n">
        <v>41</v>
      </c>
      <c r="B42" s="2" t="n">
        <v>2100</v>
      </c>
      <c r="C42" s="3">
        <f>C41+B41</f>
        <v/>
      </c>
      <c r="D42" s="2" t="inlineStr"/>
      <c r="E42" s="2" t="inlineStr"/>
      <c r="F42" s="2" t="inlineStr"/>
      <c r="G42" s="2" t="inlineStr"/>
      <c r="H42" s="2" t="inlineStr"/>
      <c r="I42" s="2" t="inlineStr">
        <is>
          <t>离散曲线来自沉淀MD</t>
        </is>
      </c>
      <c r="J42" s="6" t="n"/>
      <c r="K42" s="6" t="n"/>
      <c r="L42" s="6" t="n"/>
      <c r="M42" s="6" t="n"/>
      <c r="N42" s="6" t="n"/>
      <c r="O42" s="6" t="n"/>
      <c r="P42" s="6" t="n"/>
    </row>
    <row r="43">
      <c r="A43" s="2" t="n">
        <v>42</v>
      </c>
      <c r="B43" s="2" t="n">
        <v>2200</v>
      </c>
      <c r="C43" s="3">
        <f>C42+B42</f>
        <v/>
      </c>
      <c r="D43" s="2" t="inlineStr"/>
      <c r="E43" s="2" t="inlineStr"/>
      <c r="F43" s="2" t="inlineStr"/>
      <c r="G43" s="2" t="inlineStr"/>
      <c r="H43" s="2" t="inlineStr"/>
      <c r="I43" s="2" t="inlineStr">
        <is>
          <t>离散曲线来自沉淀MD</t>
        </is>
      </c>
      <c r="J43" s="6" t="n"/>
      <c r="K43" s="6" t="n"/>
      <c r="L43" s="6" t="n"/>
      <c r="M43" s="6" t="n"/>
      <c r="N43" s="6" t="n"/>
      <c r="O43" s="6" t="n"/>
      <c r="P43" s="6" t="n"/>
    </row>
    <row r="44">
      <c r="A44" s="2" t="n">
        <v>43</v>
      </c>
      <c r="B44" s="2" t="n">
        <v>2300</v>
      </c>
      <c r="C44" s="3">
        <f>C43+B43</f>
        <v/>
      </c>
      <c r="D44" s="2" t="inlineStr"/>
      <c r="E44" s="2" t="inlineStr"/>
      <c r="F44" s="2" t="inlineStr"/>
      <c r="G44" s="2" t="inlineStr"/>
      <c r="H44" s="2" t="inlineStr"/>
      <c r="I44" s="2" t="inlineStr">
        <is>
          <t>离散曲线来自沉淀MD</t>
        </is>
      </c>
      <c r="J44" s="6" t="n"/>
      <c r="K44" s="6" t="n"/>
      <c r="L44" s="6" t="n"/>
      <c r="M44" s="6" t="n"/>
      <c r="N44" s="6" t="n"/>
      <c r="O44" s="6" t="n"/>
      <c r="P44" s="6" t="n"/>
    </row>
    <row r="45">
      <c r="A45" s="2" t="n">
        <v>44</v>
      </c>
      <c r="B45" s="2" t="n">
        <v>2400</v>
      </c>
      <c r="C45" s="3">
        <f>C44+B44</f>
        <v/>
      </c>
      <c r="D45" s="2" t="inlineStr"/>
      <c r="E45" s="2" t="inlineStr"/>
      <c r="F45" s="2" t="inlineStr"/>
      <c r="G45" s="2" t="inlineStr"/>
      <c r="H45" s="2" t="inlineStr"/>
      <c r="I45" s="2" t="inlineStr">
        <is>
          <t>离散曲线来自沉淀MD</t>
        </is>
      </c>
      <c r="J45" s="6" t="n"/>
      <c r="K45" s="6" t="n"/>
      <c r="L45" s="6" t="n"/>
      <c r="M45" s="6" t="n"/>
      <c r="N45" s="6" t="n"/>
      <c r="O45" s="6" t="n"/>
      <c r="P45" s="6" t="n"/>
    </row>
    <row r="46">
      <c r="A46" s="2" t="n">
        <v>45</v>
      </c>
      <c r="B46" s="2" t="n">
        <v>2500</v>
      </c>
      <c r="C46" s="3">
        <f>C45+B45</f>
        <v/>
      </c>
      <c r="D46" s="2" t="inlineStr"/>
      <c r="E46" s="2" t="inlineStr"/>
      <c r="F46" s="2" t="inlineStr"/>
      <c r="G46" s="2" t="inlineStr"/>
      <c r="H46" s="2" t="inlineStr"/>
      <c r="I46" s="2" t="inlineStr">
        <is>
          <t>离散曲线来自沉淀MD</t>
        </is>
      </c>
      <c r="J46" s="6" t="n"/>
      <c r="K46" s="6" t="n"/>
      <c r="L46" s="6" t="n"/>
      <c r="M46" s="6" t="n"/>
      <c r="N46" s="6" t="n"/>
      <c r="O46" s="6" t="n"/>
      <c r="P46" s="6" t="n"/>
    </row>
    <row r="47">
      <c r="A47" s="2" t="n">
        <v>46</v>
      </c>
      <c r="B47" s="2" t="n">
        <v>2600</v>
      </c>
      <c r="C47" s="3">
        <f>C46+B46</f>
        <v/>
      </c>
      <c r="D47" s="2" t="inlineStr"/>
      <c r="E47" s="2" t="inlineStr"/>
      <c r="F47" s="2" t="inlineStr"/>
      <c r="G47" s="2" t="inlineStr"/>
      <c r="H47" s="2" t="inlineStr"/>
      <c r="I47" s="2" t="inlineStr">
        <is>
          <t>离散曲线来自沉淀MD</t>
        </is>
      </c>
      <c r="J47" s="6" t="n"/>
      <c r="K47" s="6" t="n"/>
      <c r="L47" s="6" t="n"/>
      <c r="M47" s="6" t="n"/>
      <c r="N47" s="6" t="n"/>
      <c r="O47" s="6" t="n"/>
      <c r="P47" s="6" t="n"/>
    </row>
    <row r="48">
      <c r="A48" s="2" t="n">
        <v>47</v>
      </c>
      <c r="B48" s="2" t="n">
        <v>2700</v>
      </c>
      <c r="C48" s="3">
        <f>C47+B47</f>
        <v/>
      </c>
      <c r="D48" s="2" t="inlineStr"/>
      <c r="E48" s="2" t="inlineStr"/>
      <c r="F48" s="2" t="inlineStr"/>
      <c r="G48" s="2" t="inlineStr"/>
      <c r="H48" s="2" t="inlineStr"/>
      <c r="I48" s="2" t="inlineStr">
        <is>
          <t>离散曲线来自沉淀MD</t>
        </is>
      </c>
      <c r="J48" s="6" t="n"/>
      <c r="K48" s="6" t="n"/>
      <c r="L48" s="6" t="n"/>
      <c r="M48" s="6" t="n"/>
      <c r="N48" s="6" t="n"/>
      <c r="O48" s="6" t="n"/>
      <c r="P48" s="6" t="n"/>
    </row>
    <row r="49">
      <c r="A49" s="2" t="n">
        <v>48</v>
      </c>
      <c r="B49" s="2" t="n">
        <v>2800</v>
      </c>
      <c r="C49" s="3">
        <f>C48+B48</f>
        <v/>
      </c>
      <c r="D49" s="2" t="inlineStr"/>
      <c r="E49" s="2" t="inlineStr"/>
      <c r="F49" s="2" t="inlineStr"/>
      <c r="G49" s="2" t="inlineStr"/>
      <c r="H49" s="2" t="inlineStr"/>
      <c r="I49" s="2" t="inlineStr">
        <is>
          <t>离散曲线来自沉淀MD</t>
        </is>
      </c>
      <c r="J49" s="6" t="n"/>
      <c r="K49" s="6" t="n"/>
      <c r="L49" s="6" t="n"/>
      <c r="M49" s="6" t="n"/>
      <c r="N49" s="6" t="n"/>
      <c r="O49" s="6" t="n"/>
      <c r="P49" s="6" t="n"/>
    </row>
    <row r="50">
      <c r="A50" s="2" t="n">
        <v>49</v>
      </c>
      <c r="B50" s="2" t="n">
        <v>2900</v>
      </c>
      <c r="C50" s="3">
        <f>C49+B49</f>
        <v/>
      </c>
      <c r="D50" s="2" t="inlineStr"/>
      <c r="E50" s="2" t="inlineStr"/>
      <c r="F50" s="2" t="inlineStr"/>
      <c r="G50" s="2" t="inlineStr"/>
      <c r="H50" s="2" t="inlineStr"/>
      <c r="I50" s="2" t="inlineStr">
        <is>
          <t>离散曲线来自沉淀MD</t>
        </is>
      </c>
      <c r="J50" s="6" t="n"/>
      <c r="K50" s="6" t="n"/>
      <c r="L50" s="6" t="n"/>
      <c r="M50" s="6" t="n"/>
      <c r="N50" s="6" t="n"/>
      <c r="O50" s="6" t="n"/>
      <c r="P50" s="6" t="n"/>
    </row>
    <row r="51">
      <c r="A51" s="2" t="n">
        <v>50</v>
      </c>
      <c r="B51" s="2" t="n">
        <v>3800</v>
      </c>
      <c r="C51" s="3">
        <f>C50+B50</f>
        <v/>
      </c>
      <c r="D51" s="2" t="inlineStr"/>
      <c r="E51" s="2" t="inlineStr"/>
      <c r="F51" s="2" t="inlineStr"/>
      <c r="G51" s="2" t="inlineStr"/>
      <c r="H51" s="2" t="inlineStr"/>
      <c r="I51" s="2" t="inlineStr">
        <is>
          <t>离散曲线来自沉淀MD</t>
        </is>
      </c>
      <c r="J51" s="6" t="n"/>
      <c r="K51" s="6" t="n"/>
      <c r="L51" s="6" t="n"/>
      <c r="M51" s="6" t="n"/>
      <c r="N51" s="6" t="n"/>
      <c r="O51" s="6" t="n"/>
      <c r="P51" s="6" t="n"/>
    </row>
    <row r="52">
      <c r="A52" s="2" t="n">
        <v>51</v>
      </c>
      <c r="B52" s="2" t="n">
        <v>4000</v>
      </c>
      <c r="C52" s="3">
        <f>C51+B51</f>
        <v/>
      </c>
      <c r="D52" s="2" t="inlineStr"/>
      <c r="E52" s="2" t="inlineStr"/>
      <c r="F52" s="2" t="inlineStr"/>
      <c r="G52" s="2" t="inlineStr"/>
      <c r="H52" s="2" t="inlineStr"/>
      <c r="I52" s="2" t="inlineStr">
        <is>
          <t>离散曲线来自沉淀MD</t>
        </is>
      </c>
      <c r="J52" s="6" t="n"/>
      <c r="K52" s="6" t="n"/>
      <c r="L52" s="6" t="n"/>
      <c r="M52" s="6" t="n"/>
      <c r="N52" s="6" t="n"/>
      <c r="O52" s="6" t="n"/>
      <c r="P52" s="6" t="n"/>
    </row>
    <row r="53">
      <c r="A53" s="2" t="n">
        <v>52</v>
      </c>
      <c r="B53" s="2" t="n">
        <v>4200</v>
      </c>
      <c r="C53" s="3">
        <f>C52+B52</f>
        <v/>
      </c>
      <c r="D53" s="2" t="inlineStr"/>
      <c r="E53" s="2" t="inlineStr"/>
      <c r="F53" s="2" t="inlineStr"/>
      <c r="G53" s="2" t="inlineStr"/>
      <c r="H53" s="2" t="inlineStr"/>
      <c r="I53" s="2" t="inlineStr">
        <is>
          <t>离散曲线来自沉淀MD</t>
        </is>
      </c>
      <c r="J53" s="6" t="n"/>
      <c r="K53" s="6" t="n"/>
      <c r="L53" s="6" t="n"/>
      <c r="M53" s="6" t="n"/>
      <c r="N53" s="6" t="n"/>
      <c r="O53" s="6" t="n"/>
      <c r="P53" s="6" t="n"/>
    </row>
    <row r="54">
      <c r="A54" s="2" t="n">
        <v>53</v>
      </c>
      <c r="B54" s="2" t="n">
        <v>4400</v>
      </c>
      <c r="C54" s="3">
        <f>C53+B53</f>
        <v/>
      </c>
      <c r="D54" s="2" t="inlineStr"/>
      <c r="E54" s="2" t="inlineStr"/>
      <c r="F54" s="2" t="inlineStr"/>
      <c r="G54" s="2" t="inlineStr"/>
      <c r="H54" s="2" t="inlineStr"/>
      <c r="I54" s="2" t="inlineStr">
        <is>
          <t>离散曲线来自沉淀MD</t>
        </is>
      </c>
      <c r="J54" s="6" t="n"/>
      <c r="K54" s="6" t="n"/>
      <c r="L54" s="6" t="n"/>
      <c r="M54" s="6" t="n"/>
      <c r="N54" s="6" t="n"/>
      <c r="O54" s="6" t="n"/>
      <c r="P54" s="6" t="n"/>
    </row>
    <row r="55">
      <c r="A55" s="2" t="n">
        <v>54</v>
      </c>
      <c r="B55" s="2" t="n">
        <v>4600</v>
      </c>
      <c r="C55" s="3">
        <f>C54+B54</f>
        <v/>
      </c>
      <c r="D55" s="2" t="inlineStr"/>
      <c r="E55" s="2" t="inlineStr"/>
      <c r="F55" s="2" t="inlineStr"/>
      <c r="G55" s="2" t="inlineStr"/>
      <c r="H55" s="2" t="inlineStr"/>
      <c r="I55" s="2" t="inlineStr">
        <is>
          <t>离散曲线来自沉淀MD</t>
        </is>
      </c>
      <c r="J55" s="6" t="n"/>
      <c r="K55" s="6" t="n"/>
      <c r="L55" s="6" t="n"/>
      <c r="M55" s="6" t="n"/>
      <c r="N55" s="6" t="n"/>
      <c r="O55" s="6" t="n"/>
      <c r="P55" s="6" t="n"/>
    </row>
    <row r="56">
      <c r="A56" s="2" t="n">
        <v>55</v>
      </c>
      <c r="B56" s="2" t="n">
        <v>4800</v>
      </c>
      <c r="C56" s="3">
        <f>C55+B55</f>
        <v/>
      </c>
      <c r="D56" s="2" t="inlineStr"/>
      <c r="E56" s="2" t="inlineStr"/>
      <c r="F56" s="2" t="inlineStr"/>
      <c r="G56" s="2" t="inlineStr"/>
      <c r="H56" s="2" t="inlineStr"/>
      <c r="I56" s="2" t="inlineStr">
        <is>
          <t>离散曲线来自沉淀MD</t>
        </is>
      </c>
      <c r="J56" s="6" t="n"/>
      <c r="K56" s="6" t="n"/>
      <c r="L56" s="6" t="n"/>
      <c r="M56" s="6" t="n"/>
      <c r="N56" s="6" t="n"/>
      <c r="O56" s="6" t="n"/>
      <c r="P56" s="6" t="n"/>
    </row>
    <row r="57">
      <c r="A57" s="2" t="n">
        <v>56</v>
      </c>
      <c r="B57" s="2" t="n">
        <v>5000</v>
      </c>
      <c r="C57" s="3">
        <f>C56+B56</f>
        <v/>
      </c>
      <c r="D57" s="2" t="inlineStr"/>
      <c r="E57" s="2" t="inlineStr"/>
      <c r="F57" s="2" t="inlineStr"/>
      <c r="G57" s="2" t="inlineStr"/>
      <c r="H57" s="2" t="inlineStr"/>
      <c r="I57" s="2" t="inlineStr">
        <is>
          <t>离散曲线来自沉淀MD</t>
        </is>
      </c>
      <c r="J57" s="6" t="n"/>
      <c r="K57" s="6" t="n"/>
      <c r="L57" s="6" t="n"/>
      <c r="M57" s="6" t="n"/>
      <c r="N57" s="6" t="n"/>
      <c r="O57" s="6" t="n"/>
      <c r="P57" s="6" t="n"/>
    </row>
    <row r="58">
      <c r="A58" s="2" t="n">
        <v>57</v>
      </c>
      <c r="B58" s="2" t="n">
        <v>5200</v>
      </c>
      <c r="C58" s="3">
        <f>C57+B57</f>
        <v/>
      </c>
      <c r="D58" s="2" t="inlineStr"/>
      <c r="E58" s="2" t="inlineStr"/>
      <c r="F58" s="2" t="inlineStr"/>
      <c r="G58" s="2" t="inlineStr"/>
      <c r="H58" s="2" t="inlineStr"/>
      <c r="I58" s="2" t="inlineStr">
        <is>
          <t>离散曲线来自沉淀MD</t>
        </is>
      </c>
      <c r="J58" s="6" t="n"/>
      <c r="K58" s="6" t="n"/>
      <c r="L58" s="6" t="n"/>
      <c r="M58" s="6" t="n"/>
      <c r="N58" s="6" t="n"/>
      <c r="O58" s="6" t="n"/>
      <c r="P58" s="6" t="n"/>
    </row>
    <row r="59">
      <c r="A59" s="2" t="n">
        <v>58</v>
      </c>
      <c r="B59" s="2" t="n">
        <v>5400</v>
      </c>
      <c r="C59" s="3">
        <f>C58+B58</f>
        <v/>
      </c>
      <c r="D59" s="2" t="inlineStr"/>
      <c r="E59" s="2" t="inlineStr"/>
      <c r="F59" s="2" t="inlineStr"/>
      <c r="G59" s="2" t="inlineStr"/>
      <c r="H59" s="2" t="inlineStr"/>
      <c r="I59" s="2" t="inlineStr">
        <is>
          <t>离散曲线来自沉淀MD</t>
        </is>
      </c>
      <c r="J59" s="6" t="n"/>
      <c r="K59" s="6" t="n"/>
      <c r="L59" s="6" t="n"/>
      <c r="M59" s="6" t="n"/>
      <c r="N59" s="6" t="n"/>
      <c r="O59" s="6" t="n"/>
      <c r="P59" s="6" t="n"/>
    </row>
    <row r="60">
      <c r="A60" s="2" t="n">
        <v>59</v>
      </c>
      <c r="B60" s="2" t="n">
        <v>5600</v>
      </c>
      <c r="C60" s="3">
        <f>C59+B59</f>
        <v/>
      </c>
      <c r="D60" s="2" t="inlineStr"/>
      <c r="E60" s="2" t="inlineStr"/>
      <c r="F60" s="2" t="inlineStr"/>
      <c r="G60" s="2" t="inlineStr"/>
      <c r="H60" s="2" t="inlineStr"/>
      <c r="I60" s="2" t="inlineStr">
        <is>
          <t>离散曲线来自沉淀MD</t>
        </is>
      </c>
      <c r="J60" s="6" t="n"/>
      <c r="K60" s="6" t="n"/>
      <c r="L60" s="6" t="n"/>
      <c r="M60" s="6" t="n"/>
      <c r="N60" s="6" t="n"/>
      <c r="O60" s="6" t="n"/>
      <c r="P60" s="6" t="n"/>
    </row>
    <row r="61">
      <c r="A61" s="2" t="n">
        <v>60</v>
      </c>
      <c r="B61" s="2" t="inlineStr"/>
      <c r="C61" s="3">
        <f>C60+B60</f>
        <v/>
      </c>
      <c r="D61" s="2" t="inlineStr"/>
      <c r="E61" s="2" t="inlineStr"/>
      <c r="F61" s="2" t="inlineStr"/>
      <c r="G61" s="2" t="inlineStr"/>
      <c r="H61" s="2" t="inlineStr"/>
      <c r="I61" s="2" t="inlineStr">
        <is>
          <t>离散曲线来自沉淀MD</t>
        </is>
      </c>
      <c r="J61" s="6" t="n"/>
      <c r="K61" s="6" t="n"/>
      <c r="L61" s="6" t="n"/>
      <c r="M61" s="6" t="n"/>
      <c r="N61" s="6" t="n"/>
      <c r="O61" s="6" t="n"/>
      <c r="P61" s="6" t="n"/>
    </row>
  </sheetData>
  <autoFilter ref="A1:P61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</cols>
  <sheetData>
    <row r="1">
      <c r="A1" s="1" t="inlineStr">
        <is>
          <t>合成档</t>
        </is>
      </c>
      <c r="B1" s="1" t="inlineStr">
        <is>
          <t>角色等级要求</t>
        </is>
      </c>
      <c r="C1" s="1" t="inlineStr">
        <is>
          <t>产物等级池</t>
        </is>
      </c>
      <c r="D1" s="1" t="inlineStr">
        <is>
          <t>等级权重</t>
        </is>
      </c>
      <c r="E1" s="1" t="inlineStr">
        <is>
          <t>投入装备等级下限</t>
        </is>
      </c>
      <c r="F1" s="1" t="inlineStr">
        <is>
          <t>基础金币</t>
        </is>
      </c>
      <c r="G1" s="1" t="inlineStr">
        <is>
          <t>绿金币</t>
        </is>
      </c>
      <c r="H1" s="1" t="inlineStr">
        <is>
          <t>蓝金币</t>
        </is>
      </c>
      <c r="I1" s="1" t="inlineStr">
        <is>
          <t>紫金币</t>
        </is>
      </c>
      <c r="J1" s="1" t="inlineStr">
        <is>
          <t>金金币</t>
        </is>
      </c>
      <c r="K1" s="1" t="inlineStr">
        <is>
          <t>红金币</t>
        </is>
      </c>
    </row>
    <row r="2">
      <c r="A2" s="2" t="n">
        <v>1</v>
      </c>
      <c r="B2" s="6" t="n"/>
      <c r="C2" s="2" t="inlineStr">
        <is>
          <t>10</t>
        </is>
      </c>
      <c r="D2" s="2" t="inlineStr">
        <is>
          <t>100%</t>
        </is>
      </c>
      <c r="E2" s="2" t="n">
        <v>10</v>
      </c>
      <c r="F2" s="2" t="n">
        <v>200</v>
      </c>
      <c r="G2" s="3">
        <f>$F2*INDEX('02_品质等级'!$E$2:$E$6,MATCH(LEFT(G$1,1),'02_品质等级'!$A$2:$A$6,0))</f>
        <v/>
      </c>
      <c r="H2" s="3">
        <f>$F2*INDEX('02_品质等级'!$E$2:$E$6,MATCH(LEFT(H$1,1),'02_品质等级'!$A$2:$A$6,0))</f>
        <v/>
      </c>
      <c r="I2" s="3">
        <f>$F2*INDEX('02_品质等级'!$E$2:$E$6,MATCH(LEFT(I$1,1),'02_品质等级'!$A$2:$A$6,0))</f>
        <v/>
      </c>
      <c r="J2" s="3">
        <f>$F2*INDEX('02_品质等级'!$E$2:$E$6,MATCH(LEFT(J$1,1),'02_品质等级'!$A$2:$A$6,0))</f>
        <v/>
      </c>
      <c r="K2" s="3">
        <f>$F2*INDEX('02_品质等级'!$E$2:$E$6,MATCH(LEFT(K$1,1),'02_品质等级'!$A$2:$A$6,0))</f>
        <v/>
      </c>
    </row>
    <row r="3">
      <c r="A3" s="2" t="n">
        <v>2</v>
      </c>
      <c r="B3" s="2" t="n">
        <v>10</v>
      </c>
      <c r="C3" s="2" t="inlineStr">
        <is>
          <t>15 / 20</t>
        </is>
      </c>
      <c r="D3" s="2" t="inlineStr">
        <is>
          <t>70% / 30%</t>
        </is>
      </c>
      <c r="E3" s="2" t="n">
        <v>10</v>
      </c>
      <c r="F3" s="2" t="n">
        <v>700</v>
      </c>
      <c r="G3" s="3">
        <f>$F3*INDEX('02_品质等级'!$E$2:$E$6,MATCH(LEFT(G$1,1),'02_品质等级'!$A$2:$A$6,0))</f>
        <v/>
      </c>
      <c r="H3" s="3">
        <f>$F3*INDEX('02_品质等级'!$E$2:$E$6,MATCH(LEFT(H$1,1),'02_品质等级'!$A$2:$A$6,0))</f>
        <v/>
      </c>
      <c r="I3" s="3">
        <f>$F3*INDEX('02_品质等级'!$E$2:$E$6,MATCH(LEFT(I$1,1),'02_品质等级'!$A$2:$A$6,0))</f>
        <v/>
      </c>
      <c r="J3" s="3">
        <f>$F3*INDEX('02_品质等级'!$E$2:$E$6,MATCH(LEFT(J$1,1),'02_品质等级'!$A$2:$A$6,0))</f>
        <v/>
      </c>
      <c r="K3" s="3">
        <f>$F3*INDEX('02_品质等级'!$E$2:$E$6,MATCH(LEFT(K$1,1),'02_品质等级'!$A$2:$A$6,0))</f>
        <v/>
      </c>
    </row>
    <row r="4">
      <c r="A4" s="2" t="n">
        <v>3</v>
      </c>
      <c r="B4" s="2" t="n">
        <v>20</v>
      </c>
      <c r="C4" s="2" t="inlineStr">
        <is>
          <t>25 / 30</t>
        </is>
      </c>
      <c r="D4" s="2" t="inlineStr">
        <is>
          <t>70% / 30%</t>
        </is>
      </c>
      <c r="E4" s="2" t="n">
        <v>20</v>
      </c>
      <c r="F4" s="2" t="n">
        <v>2000</v>
      </c>
      <c r="G4" s="3">
        <f>$F4*INDEX('02_品质等级'!$E$2:$E$6,MATCH(LEFT(G$1,1),'02_品质等级'!$A$2:$A$6,0))</f>
        <v/>
      </c>
      <c r="H4" s="3">
        <f>$F4*INDEX('02_品质等级'!$E$2:$E$6,MATCH(LEFT(H$1,1),'02_品质等级'!$A$2:$A$6,0))</f>
        <v/>
      </c>
      <c r="I4" s="3">
        <f>$F4*INDEX('02_品质等级'!$E$2:$E$6,MATCH(LEFT(I$1,1),'02_品质等级'!$A$2:$A$6,0))</f>
        <v/>
      </c>
      <c r="J4" s="3">
        <f>$F4*INDEX('02_品质等级'!$E$2:$E$6,MATCH(LEFT(J$1,1),'02_品质等级'!$A$2:$A$6,0))</f>
        <v/>
      </c>
      <c r="K4" s="3">
        <f>$F4*INDEX('02_品质等级'!$E$2:$E$6,MATCH(LEFT(K$1,1),'02_品质等级'!$A$2:$A$6,0))</f>
        <v/>
      </c>
    </row>
    <row r="5">
      <c r="A5" s="2" t="n">
        <v>4</v>
      </c>
      <c r="B5" s="2" t="n">
        <v>30</v>
      </c>
      <c r="C5" s="2" t="inlineStr">
        <is>
          <t>35 / 40</t>
        </is>
      </c>
      <c r="D5" s="2" t="inlineStr">
        <is>
          <t>70% / 30%</t>
        </is>
      </c>
      <c r="E5" s="2" t="n">
        <v>30</v>
      </c>
      <c r="F5" s="2" t="n">
        <v>5000</v>
      </c>
      <c r="G5" s="3">
        <f>$F5*INDEX('02_品质等级'!$E$2:$E$6,MATCH(LEFT(G$1,1),'02_品质等级'!$A$2:$A$6,0))</f>
        <v/>
      </c>
      <c r="H5" s="3">
        <f>$F5*INDEX('02_品质等级'!$E$2:$E$6,MATCH(LEFT(H$1,1),'02_品质等级'!$A$2:$A$6,0))</f>
        <v/>
      </c>
      <c r="I5" s="3">
        <f>$F5*INDEX('02_品质等级'!$E$2:$E$6,MATCH(LEFT(I$1,1),'02_品质等级'!$A$2:$A$6,0))</f>
        <v/>
      </c>
      <c r="J5" s="3">
        <f>$F5*INDEX('02_品质等级'!$E$2:$E$6,MATCH(LEFT(J$1,1),'02_品质等级'!$A$2:$A$6,0))</f>
        <v/>
      </c>
      <c r="K5" s="3">
        <f>$F5*INDEX('02_品质等级'!$E$2:$E$6,MATCH(LEFT(K$1,1),'02_品质等级'!$A$2:$A$6,0))</f>
        <v/>
      </c>
    </row>
    <row r="6">
      <c r="A6" s="2" t="n">
        <v>5</v>
      </c>
      <c r="B6" s="2" t="n">
        <v>35</v>
      </c>
      <c r="C6" s="2" t="inlineStr">
        <is>
          <t>40 / 45</t>
        </is>
      </c>
      <c r="D6" s="2" t="inlineStr">
        <is>
          <t>65% / 35%</t>
        </is>
      </c>
      <c r="E6" s="2" t="n">
        <v>40</v>
      </c>
      <c r="F6" s="2" t="n">
        <v>7600</v>
      </c>
      <c r="G6" s="3">
        <f>$F6*INDEX('02_品质等级'!$E$2:$E$6,MATCH(LEFT(G$1,1),'02_品质等级'!$A$2:$A$6,0))</f>
        <v/>
      </c>
      <c r="H6" s="3">
        <f>$F6*INDEX('02_品质等级'!$E$2:$E$6,MATCH(LEFT(H$1,1),'02_品质等级'!$A$2:$A$6,0))</f>
        <v/>
      </c>
      <c r="I6" s="3">
        <f>$F6*INDEX('02_品质等级'!$E$2:$E$6,MATCH(LEFT(I$1,1),'02_品质等级'!$A$2:$A$6,0))</f>
        <v/>
      </c>
      <c r="J6" s="3">
        <f>$F6*INDEX('02_品质等级'!$E$2:$E$6,MATCH(LEFT(J$1,1),'02_品质等级'!$A$2:$A$6,0))</f>
        <v/>
      </c>
      <c r="K6" s="3">
        <f>$F6*INDEX('02_品质等级'!$E$2:$E$6,MATCH(LEFT(K$1,1),'02_品质等级'!$A$2:$A$6,0))</f>
        <v/>
      </c>
    </row>
    <row r="7">
      <c r="A7" s="2" t="n">
        <v>6</v>
      </c>
      <c r="B7" s="2" t="n">
        <v>40</v>
      </c>
      <c r="C7" s="2" t="inlineStr">
        <is>
          <t>45 / 50</t>
        </is>
      </c>
      <c r="D7" s="2" t="inlineStr">
        <is>
          <t>65% / 35%</t>
        </is>
      </c>
      <c r="E7" s="2" t="n">
        <v>45</v>
      </c>
      <c r="F7" s="2" t="n">
        <v>11000</v>
      </c>
      <c r="G7" s="3">
        <f>$F7*INDEX('02_品质等级'!$E$2:$E$6,MATCH(LEFT(G$1,1),'02_品质等级'!$A$2:$A$6,0))</f>
        <v/>
      </c>
      <c r="H7" s="3">
        <f>$F7*INDEX('02_品质等级'!$E$2:$E$6,MATCH(LEFT(H$1,1),'02_品质等级'!$A$2:$A$6,0))</f>
        <v/>
      </c>
      <c r="I7" s="3">
        <f>$F7*INDEX('02_品质等级'!$E$2:$E$6,MATCH(LEFT(I$1,1),'02_品质等级'!$A$2:$A$6,0))</f>
        <v/>
      </c>
      <c r="J7" s="3">
        <f>$F7*INDEX('02_品质等级'!$E$2:$E$6,MATCH(LEFT(J$1,1),'02_品质等级'!$A$2:$A$6,0))</f>
        <v/>
      </c>
      <c r="K7" s="3">
        <f>$F7*INDEX('02_品质等级'!$E$2:$E$6,MATCH(LEFT(K$1,1),'02_品质等级'!$A$2:$A$6,0))</f>
        <v/>
      </c>
    </row>
    <row r="8">
      <c r="A8" s="2" t="n">
        <v>7</v>
      </c>
      <c r="B8" s="2" t="n">
        <v>45</v>
      </c>
      <c r="C8" s="2" t="inlineStr">
        <is>
          <t>50 / 55</t>
        </is>
      </c>
      <c r="D8" s="2" t="inlineStr">
        <is>
          <t>65% / 35%</t>
        </is>
      </c>
      <c r="E8" s="2" t="n">
        <v>50</v>
      </c>
      <c r="F8" s="2" t="n">
        <v>15000</v>
      </c>
      <c r="G8" s="3">
        <f>$F8*INDEX('02_品质等级'!$E$2:$E$6,MATCH(LEFT(G$1,1),'02_品质等级'!$A$2:$A$6,0))</f>
        <v/>
      </c>
      <c r="H8" s="3">
        <f>$F8*INDEX('02_品质等级'!$E$2:$E$6,MATCH(LEFT(H$1,1),'02_品质等级'!$A$2:$A$6,0))</f>
        <v/>
      </c>
      <c r="I8" s="3">
        <f>$F8*INDEX('02_品质等级'!$E$2:$E$6,MATCH(LEFT(I$1,1),'02_品质等级'!$A$2:$A$6,0))</f>
        <v/>
      </c>
      <c r="J8" s="3">
        <f>$F8*INDEX('02_品质等级'!$E$2:$E$6,MATCH(LEFT(J$1,1),'02_品质等级'!$A$2:$A$6,0))</f>
        <v/>
      </c>
      <c r="K8" s="3">
        <f>$F8*INDEX('02_品质等级'!$E$2:$E$6,MATCH(LEFT(K$1,1),'02_品质等级'!$A$2:$A$6,0))</f>
        <v/>
      </c>
    </row>
    <row r="9">
      <c r="A9" s="2" t="n">
        <v>8</v>
      </c>
      <c r="B9" s="2" t="n">
        <v>50</v>
      </c>
      <c r="C9" s="2" t="inlineStr">
        <is>
          <t>55 / 60</t>
        </is>
      </c>
      <c r="D9" s="2" t="inlineStr">
        <is>
          <t>65% / 35%</t>
        </is>
      </c>
      <c r="E9" s="2" t="n">
        <v>55</v>
      </c>
      <c r="F9" s="2" t="n">
        <v>20000</v>
      </c>
      <c r="G9" s="3">
        <f>$F9*INDEX('02_品质等级'!$E$2:$E$6,MATCH(LEFT(G$1,1),'02_品质等级'!$A$2:$A$6,0))</f>
        <v/>
      </c>
      <c r="H9" s="3">
        <f>$F9*INDEX('02_品质等级'!$E$2:$E$6,MATCH(LEFT(H$1,1),'02_品质等级'!$A$2:$A$6,0))</f>
        <v/>
      </c>
      <c r="I9" s="3">
        <f>$F9*INDEX('02_品质等级'!$E$2:$E$6,MATCH(LEFT(I$1,1),'02_品质等级'!$A$2:$A$6,0))</f>
        <v/>
      </c>
      <c r="J9" s="3">
        <f>$F9*INDEX('02_品质等级'!$E$2:$E$6,MATCH(LEFT(J$1,1),'02_品质等级'!$A$2:$A$6,0))</f>
        <v/>
      </c>
      <c r="K9" s="3">
        <f>$F9*INDEX('02_品质等级'!$E$2:$E$6,MATCH(LEFT(K$1,1),'02_品质等级'!$A$2:$A$6,0))</f>
        <v/>
      </c>
    </row>
  </sheetData>
  <autoFilter ref="A1:K9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20" customWidth="1" min="5" max="5"/>
    <col width="12" customWidth="1" min="6" max="6"/>
    <col width="21" customWidth="1" min="7" max="7"/>
    <col width="19" customWidth="1" min="8" max="8"/>
    <col width="10" customWidth="1" min="9" max="9"/>
    <col width="21" customWidth="1" min="10" max="10"/>
    <col width="10" customWidth="1" min="11" max="11"/>
  </cols>
  <sheetData>
    <row r="1">
      <c r="A1" s="1" t="inlineStr">
        <is>
          <t>锻造台Lv</t>
        </is>
      </c>
      <c r="B1" s="1" t="inlineStr">
        <is>
          <t>绿合蓝</t>
        </is>
      </c>
      <c r="C1" s="1" t="inlineStr">
        <is>
          <t>绿合紫</t>
        </is>
      </c>
      <c r="D1" s="1" t="inlineStr">
        <is>
          <t>蓝合紫</t>
        </is>
      </c>
      <c r="E1" s="1" t="inlineStr">
        <is>
          <t>蓝合金</t>
        </is>
      </c>
      <c r="F1" s="1" t="inlineStr">
        <is>
          <t>紫合紫</t>
        </is>
      </c>
      <c r="G1" s="1" t="inlineStr">
        <is>
          <t>紫合金</t>
        </is>
      </c>
      <c r="H1" s="1" t="inlineStr">
        <is>
          <t>紫合红</t>
        </is>
      </c>
      <c r="I1" s="1" t="inlineStr">
        <is>
          <t>金合金</t>
        </is>
      </c>
      <c r="J1" s="1" t="inlineStr">
        <is>
          <t>金合红</t>
        </is>
      </c>
      <c r="K1" s="1" t="inlineStr">
        <is>
          <t>红合红</t>
        </is>
      </c>
    </row>
    <row r="2">
      <c r="A2" s="2" t="n">
        <v>1</v>
      </c>
      <c r="B2" s="7">
        <f>1-C2</f>
        <v/>
      </c>
      <c r="C2" s="7">
        <f>8%+17%*(A2-1)/59</f>
        <v/>
      </c>
      <c r="D2" s="7">
        <f>1-E2</f>
        <v/>
      </c>
      <c r="E2" s="7">
        <f>5%+15%*(A2-1)/59</f>
        <v/>
      </c>
      <c r="F2" s="7">
        <f>1-G2-H2</f>
        <v/>
      </c>
      <c r="G2" s="7">
        <f>30%+30%*(A2-1)/59</f>
        <v/>
      </c>
      <c r="H2" s="7">
        <f>1%+2%*(A2-1)/59</f>
        <v/>
      </c>
      <c r="I2" s="7">
        <f>1-J2</f>
        <v/>
      </c>
      <c r="J2" s="7">
        <f>20%+20%*(A2-1)/59</f>
        <v/>
      </c>
      <c r="K2" s="4" t="n">
        <v>1</v>
      </c>
    </row>
    <row r="3">
      <c r="A3" s="2" t="n">
        <v>2</v>
      </c>
      <c r="B3" s="7">
        <f>1-C3</f>
        <v/>
      </c>
      <c r="C3" s="7">
        <f>8%+17%*(A3-1)/59</f>
        <v/>
      </c>
      <c r="D3" s="7">
        <f>1-E3</f>
        <v/>
      </c>
      <c r="E3" s="7">
        <f>5%+15%*(A3-1)/59</f>
        <v/>
      </c>
      <c r="F3" s="7">
        <f>1-G3-H3</f>
        <v/>
      </c>
      <c r="G3" s="7">
        <f>30%+30%*(A3-1)/59</f>
        <v/>
      </c>
      <c r="H3" s="7">
        <f>1%+2%*(A3-1)/59</f>
        <v/>
      </c>
      <c r="I3" s="7">
        <f>1-J3</f>
        <v/>
      </c>
      <c r="J3" s="7">
        <f>20%+20%*(A3-1)/59</f>
        <v/>
      </c>
      <c r="K3" s="4" t="n">
        <v>1</v>
      </c>
    </row>
    <row r="4">
      <c r="A4" s="2" t="n">
        <v>3</v>
      </c>
      <c r="B4" s="7">
        <f>1-C4</f>
        <v/>
      </c>
      <c r="C4" s="7">
        <f>8%+17%*(A4-1)/59</f>
        <v/>
      </c>
      <c r="D4" s="7">
        <f>1-E4</f>
        <v/>
      </c>
      <c r="E4" s="7">
        <f>5%+15%*(A4-1)/59</f>
        <v/>
      </c>
      <c r="F4" s="7">
        <f>1-G4-H4</f>
        <v/>
      </c>
      <c r="G4" s="7">
        <f>30%+30%*(A4-1)/59</f>
        <v/>
      </c>
      <c r="H4" s="7">
        <f>1%+2%*(A4-1)/59</f>
        <v/>
      </c>
      <c r="I4" s="7">
        <f>1-J4</f>
        <v/>
      </c>
      <c r="J4" s="7">
        <f>20%+20%*(A4-1)/59</f>
        <v/>
      </c>
      <c r="K4" s="4" t="n">
        <v>1</v>
      </c>
    </row>
    <row r="5">
      <c r="A5" s="2" t="n">
        <v>4</v>
      </c>
      <c r="B5" s="7">
        <f>1-C5</f>
        <v/>
      </c>
      <c r="C5" s="7">
        <f>8%+17%*(A5-1)/59</f>
        <v/>
      </c>
      <c r="D5" s="7">
        <f>1-E5</f>
        <v/>
      </c>
      <c r="E5" s="7">
        <f>5%+15%*(A5-1)/59</f>
        <v/>
      </c>
      <c r="F5" s="7">
        <f>1-G5-H5</f>
        <v/>
      </c>
      <c r="G5" s="7">
        <f>30%+30%*(A5-1)/59</f>
        <v/>
      </c>
      <c r="H5" s="7">
        <f>1%+2%*(A5-1)/59</f>
        <v/>
      </c>
      <c r="I5" s="7">
        <f>1-J5</f>
        <v/>
      </c>
      <c r="J5" s="7">
        <f>20%+20%*(A5-1)/59</f>
        <v/>
      </c>
      <c r="K5" s="4" t="n">
        <v>1</v>
      </c>
    </row>
    <row r="6">
      <c r="A6" s="2" t="n">
        <v>5</v>
      </c>
      <c r="B6" s="7">
        <f>1-C6</f>
        <v/>
      </c>
      <c r="C6" s="7">
        <f>8%+17%*(A6-1)/59</f>
        <v/>
      </c>
      <c r="D6" s="7">
        <f>1-E6</f>
        <v/>
      </c>
      <c r="E6" s="7">
        <f>5%+15%*(A6-1)/59</f>
        <v/>
      </c>
      <c r="F6" s="7">
        <f>1-G6-H6</f>
        <v/>
      </c>
      <c r="G6" s="7">
        <f>30%+30%*(A6-1)/59</f>
        <v/>
      </c>
      <c r="H6" s="7">
        <f>1%+2%*(A6-1)/59</f>
        <v/>
      </c>
      <c r="I6" s="7">
        <f>1-J6</f>
        <v/>
      </c>
      <c r="J6" s="7">
        <f>20%+20%*(A6-1)/59</f>
        <v/>
      </c>
      <c r="K6" s="4" t="n">
        <v>1</v>
      </c>
    </row>
    <row r="7">
      <c r="A7" s="2" t="n">
        <v>6</v>
      </c>
      <c r="B7" s="7">
        <f>1-C7</f>
        <v/>
      </c>
      <c r="C7" s="7">
        <f>8%+17%*(A7-1)/59</f>
        <v/>
      </c>
      <c r="D7" s="7">
        <f>1-E7</f>
        <v/>
      </c>
      <c r="E7" s="7">
        <f>5%+15%*(A7-1)/59</f>
        <v/>
      </c>
      <c r="F7" s="7">
        <f>1-G7-H7</f>
        <v/>
      </c>
      <c r="G7" s="7">
        <f>30%+30%*(A7-1)/59</f>
        <v/>
      </c>
      <c r="H7" s="7">
        <f>1%+2%*(A7-1)/59</f>
        <v/>
      </c>
      <c r="I7" s="7">
        <f>1-J7</f>
        <v/>
      </c>
      <c r="J7" s="7">
        <f>20%+20%*(A7-1)/59</f>
        <v/>
      </c>
      <c r="K7" s="4" t="n">
        <v>1</v>
      </c>
    </row>
    <row r="8">
      <c r="A8" s="2" t="n">
        <v>7</v>
      </c>
      <c r="B8" s="7">
        <f>1-C8</f>
        <v/>
      </c>
      <c r="C8" s="7">
        <f>8%+17%*(A8-1)/59</f>
        <v/>
      </c>
      <c r="D8" s="7">
        <f>1-E8</f>
        <v/>
      </c>
      <c r="E8" s="7">
        <f>5%+15%*(A8-1)/59</f>
        <v/>
      </c>
      <c r="F8" s="7">
        <f>1-G8-H8</f>
        <v/>
      </c>
      <c r="G8" s="7">
        <f>30%+30%*(A8-1)/59</f>
        <v/>
      </c>
      <c r="H8" s="7">
        <f>1%+2%*(A8-1)/59</f>
        <v/>
      </c>
      <c r="I8" s="7">
        <f>1-J8</f>
        <v/>
      </c>
      <c r="J8" s="7">
        <f>20%+20%*(A8-1)/59</f>
        <v/>
      </c>
      <c r="K8" s="4" t="n">
        <v>1</v>
      </c>
    </row>
    <row r="9">
      <c r="A9" s="2" t="n">
        <v>8</v>
      </c>
      <c r="B9" s="7">
        <f>1-C9</f>
        <v/>
      </c>
      <c r="C9" s="7">
        <f>8%+17%*(A9-1)/59</f>
        <v/>
      </c>
      <c r="D9" s="7">
        <f>1-E9</f>
        <v/>
      </c>
      <c r="E9" s="7">
        <f>5%+15%*(A9-1)/59</f>
        <v/>
      </c>
      <c r="F9" s="7">
        <f>1-G9-H9</f>
        <v/>
      </c>
      <c r="G9" s="7">
        <f>30%+30%*(A9-1)/59</f>
        <v/>
      </c>
      <c r="H9" s="7">
        <f>1%+2%*(A9-1)/59</f>
        <v/>
      </c>
      <c r="I9" s="7">
        <f>1-J9</f>
        <v/>
      </c>
      <c r="J9" s="7">
        <f>20%+20%*(A9-1)/59</f>
        <v/>
      </c>
      <c r="K9" s="4" t="n">
        <v>1</v>
      </c>
    </row>
    <row r="10">
      <c r="A10" s="2" t="n">
        <v>9</v>
      </c>
      <c r="B10" s="7">
        <f>1-C10</f>
        <v/>
      </c>
      <c r="C10" s="7">
        <f>8%+17%*(A10-1)/59</f>
        <v/>
      </c>
      <c r="D10" s="7">
        <f>1-E10</f>
        <v/>
      </c>
      <c r="E10" s="7">
        <f>5%+15%*(A10-1)/59</f>
        <v/>
      </c>
      <c r="F10" s="7">
        <f>1-G10-H10</f>
        <v/>
      </c>
      <c r="G10" s="7">
        <f>30%+30%*(A10-1)/59</f>
        <v/>
      </c>
      <c r="H10" s="7">
        <f>1%+2%*(A10-1)/59</f>
        <v/>
      </c>
      <c r="I10" s="7">
        <f>1-J10</f>
        <v/>
      </c>
      <c r="J10" s="7">
        <f>20%+20%*(A10-1)/59</f>
        <v/>
      </c>
      <c r="K10" s="4" t="n">
        <v>1</v>
      </c>
    </row>
    <row r="11">
      <c r="A11" s="2" t="n">
        <v>10</v>
      </c>
      <c r="B11" s="7">
        <f>1-C11</f>
        <v/>
      </c>
      <c r="C11" s="7">
        <f>8%+17%*(A11-1)/59</f>
        <v/>
      </c>
      <c r="D11" s="7">
        <f>1-E11</f>
        <v/>
      </c>
      <c r="E11" s="7">
        <f>5%+15%*(A11-1)/59</f>
        <v/>
      </c>
      <c r="F11" s="7">
        <f>1-G11-H11</f>
        <v/>
      </c>
      <c r="G11" s="7">
        <f>30%+30%*(A11-1)/59</f>
        <v/>
      </c>
      <c r="H11" s="7">
        <f>1%+2%*(A11-1)/59</f>
        <v/>
      </c>
      <c r="I11" s="7">
        <f>1-J11</f>
        <v/>
      </c>
      <c r="J11" s="7">
        <f>20%+20%*(A11-1)/59</f>
        <v/>
      </c>
      <c r="K11" s="4" t="n">
        <v>1</v>
      </c>
    </row>
    <row r="12">
      <c r="A12" s="2" t="n">
        <v>11</v>
      </c>
      <c r="B12" s="7">
        <f>1-C12</f>
        <v/>
      </c>
      <c r="C12" s="7">
        <f>8%+17%*(A12-1)/59</f>
        <v/>
      </c>
      <c r="D12" s="7">
        <f>1-E12</f>
        <v/>
      </c>
      <c r="E12" s="7">
        <f>5%+15%*(A12-1)/59</f>
        <v/>
      </c>
      <c r="F12" s="7">
        <f>1-G12-H12</f>
        <v/>
      </c>
      <c r="G12" s="7">
        <f>30%+30%*(A12-1)/59</f>
        <v/>
      </c>
      <c r="H12" s="7">
        <f>1%+2%*(A12-1)/59</f>
        <v/>
      </c>
      <c r="I12" s="7">
        <f>1-J12</f>
        <v/>
      </c>
      <c r="J12" s="7">
        <f>20%+20%*(A12-1)/59</f>
        <v/>
      </c>
      <c r="K12" s="4" t="n">
        <v>1</v>
      </c>
    </row>
    <row r="13">
      <c r="A13" s="2" t="n">
        <v>12</v>
      </c>
      <c r="B13" s="7">
        <f>1-C13</f>
        <v/>
      </c>
      <c r="C13" s="7">
        <f>8%+17%*(A13-1)/59</f>
        <v/>
      </c>
      <c r="D13" s="7">
        <f>1-E13</f>
        <v/>
      </c>
      <c r="E13" s="7">
        <f>5%+15%*(A13-1)/59</f>
        <v/>
      </c>
      <c r="F13" s="7">
        <f>1-G13-H13</f>
        <v/>
      </c>
      <c r="G13" s="7">
        <f>30%+30%*(A13-1)/59</f>
        <v/>
      </c>
      <c r="H13" s="7">
        <f>1%+2%*(A13-1)/59</f>
        <v/>
      </c>
      <c r="I13" s="7">
        <f>1-J13</f>
        <v/>
      </c>
      <c r="J13" s="7">
        <f>20%+20%*(A13-1)/59</f>
        <v/>
      </c>
      <c r="K13" s="4" t="n">
        <v>1</v>
      </c>
    </row>
    <row r="14">
      <c r="A14" s="2" t="n">
        <v>13</v>
      </c>
      <c r="B14" s="7">
        <f>1-C14</f>
        <v/>
      </c>
      <c r="C14" s="7">
        <f>8%+17%*(A14-1)/59</f>
        <v/>
      </c>
      <c r="D14" s="7">
        <f>1-E14</f>
        <v/>
      </c>
      <c r="E14" s="7">
        <f>5%+15%*(A14-1)/59</f>
        <v/>
      </c>
      <c r="F14" s="7">
        <f>1-G14-H14</f>
        <v/>
      </c>
      <c r="G14" s="7">
        <f>30%+30%*(A14-1)/59</f>
        <v/>
      </c>
      <c r="H14" s="7">
        <f>1%+2%*(A14-1)/59</f>
        <v/>
      </c>
      <c r="I14" s="7">
        <f>1-J14</f>
        <v/>
      </c>
      <c r="J14" s="7">
        <f>20%+20%*(A14-1)/59</f>
        <v/>
      </c>
      <c r="K14" s="4" t="n">
        <v>1</v>
      </c>
    </row>
    <row r="15">
      <c r="A15" s="2" t="n">
        <v>14</v>
      </c>
      <c r="B15" s="7">
        <f>1-C15</f>
        <v/>
      </c>
      <c r="C15" s="7">
        <f>8%+17%*(A15-1)/59</f>
        <v/>
      </c>
      <c r="D15" s="7">
        <f>1-E15</f>
        <v/>
      </c>
      <c r="E15" s="7">
        <f>5%+15%*(A15-1)/59</f>
        <v/>
      </c>
      <c r="F15" s="7">
        <f>1-G15-H15</f>
        <v/>
      </c>
      <c r="G15" s="7">
        <f>30%+30%*(A15-1)/59</f>
        <v/>
      </c>
      <c r="H15" s="7">
        <f>1%+2%*(A15-1)/59</f>
        <v/>
      </c>
      <c r="I15" s="7">
        <f>1-J15</f>
        <v/>
      </c>
      <c r="J15" s="7">
        <f>20%+20%*(A15-1)/59</f>
        <v/>
      </c>
      <c r="K15" s="4" t="n">
        <v>1</v>
      </c>
    </row>
    <row r="16">
      <c r="A16" s="2" t="n">
        <v>15</v>
      </c>
      <c r="B16" s="7">
        <f>1-C16</f>
        <v/>
      </c>
      <c r="C16" s="7">
        <f>8%+17%*(A16-1)/59</f>
        <v/>
      </c>
      <c r="D16" s="7">
        <f>1-E16</f>
        <v/>
      </c>
      <c r="E16" s="7">
        <f>5%+15%*(A16-1)/59</f>
        <v/>
      </c>
      <c r="F16" s="7">
        <f>1-G16-H16</f>
        <v/>
      </c>
      <c r="G16" s="7">
        <f>30%+30%*(A16-1)/59</f>
        <v/>
      </c>
      <c r="H16" s="7">
        <f>1%+2%*(A16-1)/59</f>
        <v/>
      </c>
      <c r="I16" s="7">
        <f>1-J16</f>
        <v/>
      </c>
      <c r="J16" s="7">
        <f>20%+20%*(A16-1)/59</f>
        <v/>
      </c>
      <c r="K16" s="4" t="n">
        <v>1</v>
      </c>
    </row>
    <row r="17">
      <c r="A17" s="2" t="n">
        <v>16</v>
      </c>
      <c r="B17" s="7">
        <f>1-C17</f>
        <v/>
      </c>
      <c r="C17" s="7">
        <f>8%+17%*(A17-1)/59</f>
        <v/>
      </c>
      <c r="D17" s="7">
        <f>1-E17</f>
        <v/>
      </c>
      <c r="E17" s="7">
        <f>5%+15%*(A17-1)/59</f>
        <v/>
      </c>
      <c r="F17" s="7">
        <f>1-G17-H17</f>
        <v/>
      </c>
      <c r="G17" s="7">
        <f>30%+30%*(A17-1)/59</f>
        <v/>
      </c>
      <c r="H17" s="7">
        <f>1%+2%*(A17-1)/59</f>
        <v/>
      </c>
      <c r="I17" s="7">
        <f>1-J17</f>
        <v/>
      </c>
      <c r="J17" s="7">
        <f>20%+20%*(A17-1)/59</f>
        <v/>
      </c>
      <c r="K17" s="4" t="n">
        <v>1</v>
      </c>
    </row>
    <row r="18">
      <c r="A18" s="2" t="n">
        <v>17</v>
      </c>
      <c r="B18" s="7">
        <f>1-C18</f>
        <v/>
      </c>
      <c r="C18" s="7">
        <f>8%+17%*(A18-1)/59</f>
        <v/>
      </c>
      <c r="D18" s="7">
        <f>1-E18</f>
        <v/>
      </c>
      <c r="E18" s="7">
        <f>5%+15%*(A18-1)/59</f>
        <v/>
      </c>
      <c r="F18" s="7">
        <f>1-G18-H18</f>
        <v/>
      </c>
      <c r="G18" s="7">
        <f>30%+30%*(A18-1)/59</f>
        <v/>
      </c>
      <c r="H18" s="7">
        <f>1%+2%*(A18-1)/59</f>
        <v/>
      </c>
      <c r="I18" s="7">
        <f>1-J18</f>
        <v/>
      </c>
      <c r="J18" s="7">
        <f>20%+20%*(A18-1)/59</f>
        <v/>
      </c>
      <c r="K18" s="4" t="n">
        <v>1</v>
      </c>
    </row>
    <row r="19">
      <c r="A19" s="2" t="n">
        <v>18</v>
      </c>
      <c r="B19" s="7">
        <f>1-C19</f>
        <v/>
      </c>
      <c r="C19" s="7">
        <f>8%+17%*(A19-1)/59</f>
        <v/>
      </c>
      <c r="D19" s="7">
        <f>1-E19</f>
        <v/>
      </c>
      <c r="E19" s="7">
        <f>5%+15%*(A19-1)/59</f>
        <v/>
      </c>
      <c r="F19" s="7">
        <f>1-G19-H19</f>
        <v/>
      </c>
      <c r="G19" s="7">
        <f>30%+30%*(A19-1)/59</f>
        <v/>
      </c>
      <c r="H19" s="7">
        <f>1%+2%*(A19-1)/59</f>
        <v/>
      </c>
      <c r="I19" s="7">
        <f>1-J19</f>
        <v/>
      </c>
      <c r="J19" s="7">
        <f>20%+20%*(A19-1)/59</f>
        <v/>
      </c>
      <c r="K19" s="4" t="n">
        <v>1</v>
      </c>
    </row>
    <row r="20">
      <c r="A20" s="2" t="n">
        <v>19</v>
      </c>
      <c r="B20" s="7">
        <f>1-C20</f>
        <v/>
      </c>
      <c r="C20" s="7">
        <f>8%+17%*(A20-1)/59</f>
        <v/>
      </c>
      <c r="D20" s="7">
        <f>1-E20</f>
        <v/>
      </c>
      <c r="E20" s="7">
        <f>5%+15%*(A20-1)/59</f>
        <v/>
      </c>
      <c r="F20" s="7">
        <f>1-G20-H20</f>
        <v/>
      </c>
      <c r="G20" s="7">
        <f>30%+30%*(A20-1)/59</f>
        <v/>
      </c>
      <c r="H20" s="7">
        <f>1%+2%*(A20-1)/59</f>
        <v/>
      </c>
      <c r="I20" s="7">
        <f>1-J20</f>
        <v/>
      </c>
      <c r="J20" s="7">
        <f>20%+20%*(A20-1)/59</f>
        <v/>
      </c>
      <c r="K20" s="4" t="n">
        <v>1</v>
      </c>
    </row>
    <row r="21">
      <c r="A21" s="2" t="n">
        <v>20</v>
      </c>
      <c r="B21" s="7">
        <f>1-C21</f>
        <v/>
      </c>
      <c r="C21" s="7">
        <f>8%+17%*(A21-1)/59</f>
        <v/>
      </c>
      <c r="D21" s="7">
        <f>1-E21</f>
        <v/>
      </c>
      <c r="E21" s="7">
        <f>5%+15%*(A21-1)/59</f>
        <v/>
      </c>
      <c r="F21" s="7">
        <f>1-G21-H21</f>
        <v/>
      </c>
      <c r="G21" s="7">
        <f>30%+30%*(A21-1)/59</f>
        <v/>
      </c>
      <c r="H21" s="7">
        <f>1%+2%*(A21-1)/59</f>
        <v/>
      </c>
      <c r="I21" s="7">
        <f>1-J21</f>
        <v/>
      </c>
      <c r="J21" s="7">
        <f>20%+20%*(A21-1)/59</f>
        <v/>
      </c>
      <c r="K21" s="4" t="n">
        <v>1</v>
      </c>
    </row>
    <row r="22">
      <c r="A22" s="2" t="n">
        <v>21</v>
      </c>
      <c r="B22" s="7">
        <f>1-C22</f>
        <v/>
      </c>
      <c r="C22" s="7">
        <f>8%+17%*(A22-1)/59</f>
        <v/>
      </c>
      <c r="D22" s="7">
        <f>1-E22</f>
        <v/>
      </c>
      <c r="E22" s="7">
        <f>5%+15%*(A22-1)/59</f>
        <v/>
      </c>
      <c r="F22" s="7">
        <f>1-G22-H22</f>
        <v/>
      </c>
      <c r="G22" s="7">
        <f>30%+30%*(A22-1)/59</f>
        <v/>
      </c>
      <c r="H22" s="7">
        <f>1%+2%*(A22-1)/59</f>
        <v/>
      </c>
      <c r="I22" s="7">
        <f>1-J22</f>
        <v/>
      </c>
      <c r="J22" s="7">
        <f>20%+20%*(A22-1)/59</f>
        <v/>
      </c>
      <c r="K22" s="4" t="n">
        <v>1</v>
      </c>
    </row>
    <row r="23">
      <c r="A23" s="2" t="n">
        <v>22</v>
      </c>
      <c r="B23" s="7">
        <f>1-C23</f>
        <v/>
      </c>
      <c r="C23" s="7">
        <f>8%+17%*(A23-1)/59</f>
        <v/>
      </c>
      <c r="D23" s="7">
        <f>1-E23</f>
        <v/>
      </c>
      <c r="E23" s="7">
        <f>5%+15%*(A23-1)/59</f>
        <v/>
      </c>
      <c r="F23" s="7">
        <f>1-G23-H23</f>
        <v/>
      </c>
      <c r="G23" s="7">
        <f>30%+30%*(A23-1)/59</f>
        <v/>
      </c>
      <c r="H23" s="7">
        <f>1%+2%*(A23-1)/59</f>
        <v/>
      </c>
      <c r="I23" s="7">
        <f>1-J23</f>
        <v/>
      </c>
      <c r="J23" s="7">
        <f>20%+20%*(A23-1)/59</f>
        <v/>
      </c>
      <c r="K23" s="4" t="n">
        <v>1</v>
      </c>
    </row>
    <row r="24">
      <c r="A24" s="2" t="n">
        <v>23</v>
      </c>
      <c r="B24" s="7">
        <f>1-C24</f>
        <v/>
      </c>
      <c r="C24" s="7">
        <f>8%+17%*(A24-1)/59</f>
        <v/>
      </c>
      <c r="D24" s="7">
        <f>1-E24</f>
        <v/>
      </c>
      <c r="E24" s="7">
        <f>5%+15%*(A24-1)/59</f>
        <v/>
      </c>
      <c r="F24" s="7">
        <f>1-G24-H24</f>
        <v/>
      </c>
      <c r="G24" s="7">
        <f>30%+30%*(A24-1)/59</f>
        <v/>
      </c>
      <c r="H24" s="7">
        <f>1%+2%*(A24-1)/59</f>
        <v/>
      </c>
      <c r="I24" s="7">
        <f>1-J24</f>
        <v/>
      </c>
      <c r="J24" s="7">
        <f>20%+20%*(A24-1)/59</f>
        <v/>
      </c>
      <c r="K24" s="4" t="n">
        <v>1</v>
      </c>
    </row>
    <row r="25">
      <c r="A25" s="2" t="n">
        <v>24</v>
      </c>
      <c r="B25" s="7">
        <f>1-C25</f>
        <v/>
      </c>
      <c r="C25" s="7">
        <f>8%+17%*(A25-1)/59</f>
        <v/>
      </c>
      <c r="D25" s="7">
        <f>1-E25</f>
        <v/>
      </c>
      <c r="E25" s="7">
        <f>5%+15%*(A25-1)/59</f>
        <v/>
      </c>
      <c r="F25" s="7">
        <f>1-G25-H25</f>
        <v/>
      </c>
      <c r="G25" s="7">
        <f>30%+30%*(A25-1)/59</f>
        <v/>
      </c>
      <c r="H25" s="7">
        <f>1%+2%*(A25-1)/59</f>
        <v/>
      </c>
      <c r="I25" s="7">
        <f>1-J25</f>
        <v/>
      </c>
      <c r="J25" s="7">
        <f>20%+20%*(A25-1)/59</f>
        <v/>
      </c>
      <c r="K25" s="4" t="n">
        <v>1</v>
      </c>
    </row>
    <row r="26">
      <c r="A26" s="2" t="n">
        <v>25</v>
      </c>
      <c r="B26" s="7">
        <f>1-C26</f>
        <v/>
      </c>
      <c r="C26" s="7">
        <f>8%+17%*(A26-1)/59</f>
        <v/>
      </c>
      <c r="D26" s="7">
        <f>1-E26</f>
        <v/>
      </c>
      <c r="E26" s="7">
        <f>5%+15%*(A26-1)/59</f>
        <v/>
      </c>
      <c r="F26" s="7">
        <f>1-G26-H26</f>
        <v/>
      </c>
      <c r="G26" s="7">
        <f>30%+30%*(A26-1)/59</f>
        <v/>
      </c>
      <c r="H26" s="7">
        <f>1%+2%*(A26-1)/59</f>
        <v/>
      </c>
      <c r="I26" s="7">
        <f>1-J26</f>
        <v/>
      </c>
      <c r="J26" s="7">
        <f>20%+20%*(A26-1)/59</f>
        <v/>
      </c>
      <c r="K26" s="4" t="n">
        <v>1</v>
      </c>
    </row>
    <row r="27">
      <c r="A27" s="2" t="n">
        <v>26</v>
      </c>
      <c r="B27" s="7">
        <f>1-C27</f>
        <v/>
      </c>
      <c r="C27" s="7">
        <f>8%+17%*(A27-1)/59</f>
        <v/>
      </c>
      <c r="D27" s="7">
        <f>1-E27</f>
        <v/>
      </c>
      <c r="E27" s="7">
        <f>5%+15%*(A27-1)/59</f>
        <v/>
      </c>
      <c r="F27" s="7">
        <f>1-G27-H27</f>
        <v/>
      </c>
      <c r="G27" s="7">
        <f>30%+30%*(A27-1)/59</f>
        <v/>
      </c>
      <c r="H27" s="7">
        <f>1%+2%*(A27-1)/59</f>
        <v/>
      </c>
      <c r="I27" s="7">
        <f>1-J27</f>
        <v/>
      </c>
      <c r="J27" s="7">
        <f>20%+20%*(A27-1)/59</f>
        <v/>
      </c>
      <c r="K27" s="4" t="n">
        <v>1</v>
      </c>
    </row>
    <row r="28">
      <c r="A28" s="2" t="n">
        <v>27</v>
      </c>
      <c r="B28" s="7">
        <f>1-C28</f>
        <v/>
      </c>
      <c r="C28" s="7">
        <f>8%+17%*(A28-1)/59</f>
        <v/>
      </c>
      <c r="D28" s="7">
        <f>1-E28</f>
        <v/>
      </c>
      <c r="E28" s="7">
        <f>5%+15%*(A28-1)/59</f>
        <v/>
      </c>
      <c r="F28" s="7">
        <f>1-G28-H28</f>
        <v/>
      </c>
      <c r="G28" s="7">
        <f>30%+30%*(A28-1)/59</f>
        <v/>
      </c>
      <c r="H28" s="7">
        <f>1%+2%*(A28-1)/59</f>
        <v/>
      </c>
      <c r="I28" s="7">
        <f>1-J28</f>
        <v/>
      </c>
      <c r="J28" s="7">
        <f>20%+20%*(A28-1)/59</f>
        <v/>
      </c>
      <c r="K28" s="4" t="n">
        <v>1</v>
      </c>
    </row>
    <row r="29">
      <c r="A29" s="2" t="n">
        <v>28</v>
      </c>
      <c r="B29" s="7">
        <f>1-C29</f>
        <v/>
      </c>
      <c r="C29" s="7">
        <f>8%+17%*(A29-1)/59</f>
        <v/>
      </c>
      <c r="D29" s="7">
        <f>1-E29</f>
        <v/>
      </c>
      <c r="E29" s="7">
        <f>5%+15%*(A29-1)/59</f>
        <v/>
      </c>
      <c r="F29" s="7">
        <f>1-G29-H29</f>
        <v/>
      </c>
      <c r="G29" s="7">
        <f>30%+30%*(A29-1)/59</f>
        <v/>
      </c>
      <c r="H29" s="7">
        <f>1%+2%*(A29-1)/59</f>
        <v/>
      </c>
      <c r="I29" s="7">
        <f>1-J29</f>
        <v/>
      </c>
      <c r="J29" s="7">
        <f>20%+20%*(A29-1)/59</f>
        <v/>
      </c>
      <c r="K29" s="4" t="n">
        <v>1</v>
      </c>
    </row>
    <row r="30">
      <c r="A30" s="2" t="n">
        <v>29</v>
      </c>
      <c r="B30" s="7">
        <f>1-C30</f>
        <v/>
      </c>
      <c r="C30" s="7">
        <f>8%+17%*(A30-1)/59</f>
        <v/>
      </c>
      <c r="D30" s="7">
        <f>1-E30</f>
        <v/>
      </c>
      <c r="E30" s="7">
        <f>5%+15%*(A30-1)/59</f>
        <v/>
      </c>
      <c r="F30" s="7">
        <f>1-G30-H30</f>
        <v/>
      </c>
      <c r="G30" s="7">
        <f>30%+30%*(A30-1)/59</f>
        <v/>
      </c>
      <c r="H30" s="7">
        <f>1%+2%*(A30-1)/59</f>
        <v/>
      </c>
      <c r="I30" s="7">
        <f>1-J30</f>
        <v/>
      </c>
      <c r="J30" s="7">
        <f>20%+20%*(A30-1)/59</f>
        <v/>
      </c>
      <c r="K30" s="4" t="n">
        <v>1</v>
      </c>
    </row>
    <row r="31">
      <c r="A31" s="2" t="n">
        <v>30</v>
      </c>
      <c r="B31" s="7">
        <f>1-C31</f>
        <v/>
      </c>
      <c r="C31" s="7">
        <f>8%+17%*(A31-1)/59</f>
        <v/>
      </c>
      <c r="D31" s="7">
        <f>1-E31</f>
        <v/>
      </c>
      <c r="E31" s="7">
        <f>5%+15%*(A31-1)/59</f>
        <v/>
      </c>
      <c r="F31" s="7">
        <f>1-G31-H31</f>
        <v/>
      </c>
      <c r="G31" s="7">
        <f>30%+30%*(A31-1)/59</f>
        <v/>
      </c>
      <c r="H31" s="7">
        <f>1%+2%*(A31-1)/59</f>
        <v/>
      </c>
      <c r="I31" s="7">
        <f>1-J31</f>
        <v/>
      </c>
      <c r="J31" s="7">
        <f>20%+20%*(A31-1)/59</f>
        <v/>
      </c>
      <c r="K31" s="4" t="n">
        <v>1</v>
      </c>
    </row>
    <row r="32">
      <c r="A32" s="2" t="n">
        <v>31</v>
      </c>
      <c r="B32" s="7">
        <f>1-C32</f>
        <v/>
      </c>
      <c r="C32" s="7">
        <f>8%+17%*(A32-1)/59</f>
        <v/>
      </c>
      <c r="D32" s="7">
        <f>1-E32</f>
        <v/>
      </c>
      <c r="E32" s="7">
        <f>5%+15%*(A32-1)/59</f>
        <v/>
      </c>
      <c r="F32" s="7">
        <f>1-G32-H32</f>
        <v/>
      </c>
      <c r="G32" s="7">
        <f>30%+30%*(A32-1)/59</f>
        <v/>
      </c>
      <c r="H32" s="7">
        <f>1%+2%*(A32-1)/59</f>
        <v/>
      </c>
      <c r="I32" s="7">
        <f>1-J32</f>
        <v/>
      </c>
      <c r="J32" s="7">
        <f>20%+20%*(A32-1)/59</f>
        <v/>
      </c>
      <c r="K32" s="4" t="n">
        <v>1</v>
      </c>
    </row>
    <row r="33">
      <c r="A33" s="2" t="n">
        <v>32</v>
      </c>
      <c r="B33" s="7">
        <f>1-C33</f>
        <v/>
      </c>
      <c r="C33" s="7">
        <f>8%+17%*(A33-1)/59</f>
        <v/>
      </c>
      <c r="D33" s="7">
        <f>1-E33</f>
        <v/>
      </c>
      <c r="E33" s="7">
        <f>5%+15%*(A33-1)/59</f>
        <v/>
      </c>
      <c r="F33" s="7">
        <f>1-G33-H33</f>
        <v/>
      </c>
      <c r="G33" s="7">
        <f>30%+30%*(A33-1)/59</f>
        <v/>
      </c>
      <c r="H33" s="7">
        <f>1%+2%*(A33-1)/59</f>
        <v/>
      </c>
      <c r="I33" s="7">
        <f>1-J33</f>
        <v/>
      </c>
      <c r="J33" s="7">
        <f>20%+20%*(A33-1)/59</f>
        <v/>
      </c>
      <c r="K33" s="4" t="n">
        <v>1</v>
      </c>
    </row>
    <row r="34">
      <c r="A34" s="2" t="n">
        <v>33</v>
      </c>
      <c r="B34" s="7">
        <f>1-C34</f>
        <v/>
      </c>
      <c r="C34" s="7">
        <f>8%+17%*(A34-1)/59</f>
        <v/>
      </c>
      <c r="D34" s="7">
        <f>1-E34</f>
        <v/>
      </c>
      <c r="E34" s="7">
        <f>5%+15%*(A34-1)/59</f>
        <v/>
      </c>
      <c r="F34" s="7">
        <f>1-G34-H34</f>
        <v/>
      </c>
      <c r="G34" s="7">
        <f>30%+30%*(A34-1)/59</f>
        <v/>
      </c>
      <c r="H34" s="7">
        <f>1%+2%*(A34-1)/59</f>
        <v/>
      </c>
      <c r="I34" s="7">
        <f>1-J34</f>
        <v/>
      </c>
      <c r="J34" s="7">
        <f>20%+20%*(A34-1)/59</f>
        <v/>
      </c>
      <c r="K34" s="4" t="n">
        <v>1</v>
      </c>
    </row>
    <row r="35">
      <c r="A35" s="2" t="n">
        <v>34</v>
      </c>
      <c r="B35" s="7">
        <f>1-C35</f>
        <v/>
      </c>
      <c r="C35" s="7">
        <f>8%+17%*(A35-1)/59</f>
        <v/>
      </c>
      <c r="D35" s="7">
        <f>1-E35</f>
        <v/>
      </c>
      <c r="E35" s="7">
        <f>5%+15%*(A35-1)/59</f>
        <v/>
      </c>
      <c r="F35" s="7">
        <f>1-G35-H35</f>
        <v/>
      </c>
      <c r="G35" s="7">
        <f>30%+30%*(A35-1)/59</f>
        <v/>
      </c>
      <c r="H35" s="7">
        <f>1%+2%*(A35-1)/59</f>
        <v/>
      </c>
      <c r="I35" s="7">
        <f>1-J35</f>
        <v/>
      </c>
      <c r="J35" s="7">
        <f>20%+20%*(A35-1)/59</f>
        <v/>
      </c>
      <c r="K35" s="4" t="n">
        <v>1</v>
      </c>
    </row>
    <row r="36">
      <c r="A36" s="2" t="n">
        <v>35</v>
      </c>
      <c r="B36" s="7">
        <f>1-C36</f>
        <v/>
      </c>
      <c r="C36" s="7">
        <f>8%+17%*(A36-1)/59</f>
        <v/>
      </c>
      <c r="D36" s="7">
        <f>1-E36</f>
        <v/>
      </c>
      <c r="E36" s="7">
        <f>5%+15%*(A36-1)/59</f>
        <v/>
      </c>
      <c r="F36" s="7">
        <f>1-G36-H36</f>
        <v/>
      </c>
      <c r="G36" s="7">
        <f>30%+30%*(A36-1)/59</f>
        <v/>
      </c>
      <c r="H36" s="7">
        <f>1%+2%*(A36-1)/59</f>
        <v/>
      </c>
      <c r="I36" s="7">
        <f>1-J36</f>
        <v/>
      </c>
      <c r="J36" s="7">
        <f>20%+20%*(A36-1)/59</f>
        <v/>
      </c>
      <c r="K36" s="4" t="n">
        <v>1</v>
      </c>
    </row>
    <row r="37">
      <c r="A37" s="2" t="n">
        <v>36</v>
      </c>
      <c r="B37" s="7">
        <f>1-C37</f>
        <v/>
      </c>
      <c r="C37" s="7">
        <f>8%+17%*(A37-1)/59</f>
        <v/>
      </c>
      <c r="D37" s="7">
        <f>1-E37</f>
        <v/>
      </c>
      <c r="E37" s="7">
        <f>5%+15%*(A37-1)/59</f>
        <v/>
      </c>
      <c r="F37" s="7">
        <f>1-G37-H37</f>
        <v/>
      </c>
      <c r="G37" s="7">
        <f>30%+30%*(A37-1)/59</f>
        <v/>
      </c>
      <c r="H37" s="7">
        <f>1%+2%*(A37-1)/59</f>
        <v/>
      </c>
      <c r="I37" s="7">
        <f>1-J37</f>
        <v/>
      </c>
      <c r="J37" s="7">
        <f>20%+20%*(A37-1)/59</f>
        <v/>
      </c>
      <c r="K37" s="4" t="n">
        <v>1</v>
      </c>
    </row>
    <row r="38">
      <c r="A38" s="2" t="n">
        <v>37</v>
      </c>
      <c r="B38" s="7">
        <f>1-C38</f>
        <v/>
      </c>
      <c r="C38" s="7">
        <f>8%+17%*(A38-1)/59</f>
        <v/>
      </c>
      <c r="D38" s="7">
        <f>1-E38</f>
        <v/>
      </c>
      <c r="E38" s="7">
        <f>5%+15%*(A38-1)/59</f>
        <v/>
      </c>
      <c r="F38" s="7">
        <f>1-G38-H38</f>
        <v/>
      </c>
      <c r="G38" s="7">
        <f>30%+30%*(A38-1)/59</f>
        <v/>
      </c>
      <c r="H38" s="7">
        <f>1%+2%*(A38-1)/59</f>
        <v/>
      </c>
      <c r="I38" s="7">
        <f>1-J38</f>
        <v/>
      </c>
      <c r="J38" s="7">
        <f>20%+20%*(A38-1)/59</f>
        <v/>
      </c>
      <c r="K38" s="4" t="n">
        <v>1</v>
      </c>
    </row>
    <row r="39">
      <c r="A39" s="2" t="n">
        <v>38</v>
      </c>
      <c r="B39" s="7">
        <f>1-C39</f>
        <v/>
      </c>
      <c r="C39" s="7">
        <f>8%+17%*(A39-1)/59</f>
        <v/>
      </c>
      <c r="D39" s="7">
        <f>1-E39</f>
        <v/>
      </c>
      <c r="E39" s="7">
        <f>5%+15%*(A39-1)/59</f>
        <v/>
      </c>
      <c r="F39" s="7">
        <f>1-G39-H39</f>
        <v/>
      </c>
      <c r="G39" s="7">
        <f>30%+30%*(A39-1)/59</f>
        <v/>
      </c>
      <c r="H39" s="7">
        <f>1%+2%*(A39-1)/59</f>
        <v/>
      </c>
      <c r="I39" s="7">
        <f>1-J39</f>
        <v/>
      </c>
      <c r="J39" s="7">
        <f>20%+20%*(A39-1)/59</f>
        <v/>
      </c>
      <c r="K39" s="4" t="n">
        <v>1</v>
      </c>
    </row>
    <row r="40">
      <c r="A40" s="2" t="n">
        <v>39</v>
      </c>
      <c r="B40" s="7">
        <f>1-C40</f>
        <v/>
      </c>
      <c r="C40" s="7">
        <f>8%+17%*(A40-1)/59</f>
        <v/>
      </c>
      <c r="D40" s="7">
        <f>1-E40</f>
        <v/>
      </c>
      <c r="E40" s="7">
        <f>5%+15%*(A40-1)/59</f>
        <v/>
      </c>
      <c r="F40" s="7">
        <f>1-G40-H40</f>
        <v/>
      </c>
      <c r="G40" s="7">
        <f>30%+30%*(A40-1)/59</f>
        <v/>
      </c>
      <c r="H40" s="7">
        <f>1%+2%*(A40-1)/59</f>
        <v/>
      </c>
      <c r="I40" s="7">
        <f>1-J40</f>
        <v/>
      </c>
      <c r="J40" s="7">
        <f>20%+20%*(A40-1)/59</f>
        <v/>
      </c>
      <c r="K40" s="4" t="n">
        <v>1</v>
      </c>
    </row>
    <row r="41">
      <c r="A41" s="2" t="n">
        <v>40</v>
      </c>
      <c r="B41" s="7">
        <f>1-C41</f>
        <v/>
      </c>
      <c r="C41" s="7">
        <f>8%+17%*(A41-1)/59</f>
        <v/>
      </c>
      <c r="D41" s="7">
        <f>1-E41</f>
        <v/>
      </c>
      <c r="E41" s="7">
        <f>5%+15%*(A41-1)/59</f>
        <v/>
      </c>
      <c r="F41" s="7">
        <f>1-G41-H41</f>
        <v/>
      </c>
      <c r="G41" s="7">
        <f>30%+30%*(A41-1)/59</f>
        <v/>
      </c>
      <c r="H41" s="7">
        <f>1%+2%*(A41-1)/59</f>
        <v/>
      </c>
      <c r="I41" s="7">
        <f>1-J41</f>
        <v/>
      </c>
      <c r="J41" s="7">
        <f>20%+20%*(A41-1)/59</f>
        <v/>
      </c>
      <c r="K41" s="4" t="n">
        <v>1</v>
      </c>
    </row>
    <row r="42">
      <c r="A42" s="2" t="n">
        <v>41</v>
      </c>
      <c r="B42" s="7">
        <f>1-C42</f>
        <v/>
      </c>
      <c r="C42" s="7">
        <f>8%+17%*(A42-1)/59</f>
        <v/>
      </c>
      <c r="D42" s="7">
        <f>1-E42</f>
        <v/>
      </c>
      <c r="E42" s="7">
        <f>5%+15%*(A42-1)/59</f>
        <v/>
      </c>
      <c r="F42" s="7">
        <f>1-G42-H42</f>
        <v/>
      </c>
      <c r="G42" s="7">
        <f>30%+30%*(A42-1)/59</f>
        <v/>
      </c>
      <c r="H42" s="7">
        <f>1%+2%*(A42-1)/59</f>
        <v/>
      </c>
      <c r="I42" s="7">
        <f>1-J42</f>
        <v/>
      </c>
      <c r="J42" s="7">
        <f>20%+20%*(A42-1)/59</f>
        <v/>
      </c>
      <c r="K42" s="4" t="n">
        <v>1</v>
      </c>
    </row>
    <row r="43">
      <c r="A43" s="2" t="n">
        <v>42</v>
      </c>
      <c r="B43" s="7">
        <f>1-C43</f>
        <v/>
      </c>
      <c r="C43" s="7">
        <f>8%+17%*(A43-1)/59</f>
        <v/>
      </c>
      <c r="D43" s="7">
        <f>1-E43</f>
        <v/>
      </c>
      <c r="E43" s="7">
        <f>5%+15%*(A43-1)/59</f>
        <v/>
      </c>
      <c r="F43" s="7">
        <f>1-G43-H43</f>
        <v/>
      </c>
      <c r="G43" s="7">
        <f>30%+30%*(A43-1)/59</f>
        <v/>
      </c>
      <c r="H43" s="7">
        <f>1%+2%*(A43-1)/59</f>
        <v/>
      </c>
      <c r="I43" s="7">
        <f>1-J43</f>
        <v/>
      </c>
      <c r="J43" s="7">
        <f>20%+20%*(A43-1)/59</f>
        <v/>
      </c>
      <c r="K43" s="4" t="n">
        <v>1</v>
      </c>
    </row>
    <row r="44">
      <c r="A44" s="2" t="n">
        <v>43</v>
      </c>
      <c r="B44" s="7">
        <f>1-C44</f>
        <v/>
      </c>
      <c r="C44" s="7">
        <f>8%+17%*(A44-1)/59</f>
        <v/>
      </c>
      <c r="D44" s="7">
        <f>1-E44</f>
        <v/>
      </c>
      <c r="E44" s="7">
        <f>5%+15%*(A44-1)/59</f>
        <v/>
      </c>
      <c r="F44" s="7">
        <f>1-G44-H44</f>
        <v/>
      </c>
      <c r="G44" s="7">
        <f>30%+30%*(A44-1)/59</f>
        <v/>
      </c>
      <c r="H44" s="7">
        <f>1%+2%*(A44-1)/59</f>
        <v/>
      </c>
      <c r="I44" s="7">
        <f>1-J44</f>
        <v/>
      </c>
      <c r="J44" s="7">
        <f>20%+20%*(A44-1)/59</f>
        <v/>
      </c>
      <c r="K44" s="4" t="n">
        <v>1</v>
      </c>
    </row>
    <row r="45">
      <c r="A45" s="2" t="n">
        <v>44</v>
      </c>
      <c r="B45" s="7">
        <f>1-C45</f>
        <v/>
      </c>
      <c r="C45" s="7">
        <f>8%+17%*(A45-1)/59</f>
        <v/>
      </c>
      <c r="D45" s="7">
        <f>1-E45</f>
        <v/>
      </c>
      <c r="E45" s="7">
        <f>5%+15%*(A45-1)/59</f>
        <v/>
      </c>
      <c r="F45" s="7">
        <f>1-G45-H45</f>
        <v/>
      </c>
      <c r="G45" s="7">
        <f>30%+30%*(A45-1)/59</f>
        <v/>
      </c>
      <c r="H45" s="7">
        <f>1%+2%*(A45-1)/59</f>
        <v/>
      </c>
      <c r="I45" s="7">
        <f>1-J45</f>
        <v/>
      </c>
      <c r="J45" s="7">
        <f>20%+20%*(A45-1)/59</f>
        <v/>
      </c>
      <c r="K45" s="4" t="n">
        <v>1</v>
      </c>
    </row>
    <row r="46">
      <c r="A46" s="2" t="n">
        <v>45</v>
      </c>
      <c r="B46" s="7">
        <f>1-C46</f>
        <v/>
      </c>
      <c r="C46" s="7">
        <f>8%+17%*(A46-1)/59</f>
        <v/>
      </c>
      <c r="D46" s="7">
        <f>1-E46</f>
        <v/>
      </c>
      <c r="E46" s="7">
        <f>5%+15%*(A46-1)/59</f>
        <v/>
      </c>
      <c r="F46" s="7">
        <f>1-G46-H46</f>
        <v/>
      </c>
      <c r="G46" s="7">
        <f>30%+30%*(A46-1)/59</f>
        <v/>
      </c>
      <c r="H46" s="7">
        <f>1%+2%*(A46-1)/59</f>
        <v/>
      </c>
      <c r="I46" s="7">
        <f>1-J46</f>
        <v/>
      </c>
      <c r="J46" s="7">
        <f>20%+20%*(A46-1)/59</f>
        <v/>
      </c>
      <c r="K46" s="4" t="n">
        <v>1</v>
      </c>
    </row>
    <row r="47">
      <c r="A47" s="2" t="n">
        <v>46</v>
      </c>
      <c r="B47" s="7">
        <f>1-C47</f>
        <v/>
      </c>
      <c r="C47" s="7">
        <f>8%+17%*(A47-1)/59</f>
        <v/>
      </c>
      <c r="D47" s="7">
        <f>1-E47</f>
        <v/>
      </c>
      <c r="E47" s="7">
        <f>5%+15%*(A47-1)/59</f>
        <v/>
      </c>
      <c r="F47" s="7">
        <f>1-G47-H47</f>
        <v/>
      </c>
      <c r="G47" s="7">
        <f>30%+30%*(A47-1)/59</f>
        <v/>
      </c>
      <c r="H47" s="7">
        <f>1%+2%*(A47-1)/59</f>
        <v/>
      </c>
      <c r="I47" s="7">
        <f>1-J47</f>
        <v/>
      </c>
      <c r="J47" s="7">
        <f>20%+20%*(A47-1)/59</f>
        <v/>
      </c>
      <c r="K47" s="4" t="n">
        <v>1</v>
      </c>
    </row>
    <row r="48">
      <c r="A48" s="2" t="n">
        <v>47</v>
      </c>
      <c r="B48" s="7">
        <f>1-C48</f>
        <v/>
      </c>
      <c r="C48" s="7">
        <f>8%+17%*(A48-1)/59</f>
        <v/>
      </c>
      <c r="D48" s="7">
        <f>1-E48</f>
        <v/>
      </c>
      <c r="E48" s="7">
        <f>5%+15%*(A48-1)/59</f>
        <v/>
      </c>
      <c r="F48" s="7">
        <f>1-G48-H48</f>
        <v/>
      </c>
      <c r="G48" s="7">
        <f>30%+30%*(A48-1)/59</f>
        <v/>
      </c>
      <c r="H48" s="7">
        <f>1%+2%*(A48-1)/59</f>
        <v/>
      </c>
      <c r="I48" s="7">
        <f>1-J48</f>
        <v/>
      </c>
      <c r="J48" s="7">
        <f>20%+20%*(A48-1)/59</f>
        <v/>
      </c>
      <c r="K48" s="4" t="n">
        <v>1</v>
      </c>
    </row>
    <row r="49">
      <c r="A49" s="2" t="n">
        <v>48</v>
      </c>
      <c r="B49" s="7">
        <f>1-C49</f>
        <v/>
      </c>
      <c r="C49" s="7">
        <f>8%+17%*(A49-1)/59</f>
        <v/>
      </c>
      <c r="D49" s="7">
        <f>1-E49</f>
        <v/>
      </c>
      <c r="E49" s="7">
        <f>5%+15%*(A49-1)/59</f>
        <v/>
      </c>
      <c r="F49" s="7">
        <f>1-G49-H49</f>
        <v/>
      </c>
      <c r="G49" s="7">
        <f>30%+30%*(A49-1)/59</f>
        <v/>
      </c>
      <c r="H49" s="7">
        <f>1%+2%*(A49-1)/59</f>
        <v/>
      </c>
      <c r="I49" s="7">
        <f>1-J49</f>
        <v/>
      </c>
      <c r="J49" s="7">
        <f>20%+20%*(A49-1)/59</f>
        <v/>
      </c>
      <c r="K49" s="4" t="n">
        <v>1</v>
      </c>
    </row>
    <row r="50">
      <c r="A50" s="2" t="n">
        <v>49</v>
      </c>
      <c r="B50" s="7">
        <f>1-C50</f>
        <v/>
      </c>
      <c r="C50" s="7">
        <f>8%+17%*(A50-1)/59</f>
        <v/>
      </c>
      <c r="D50" s="7">
        <f>1-E50</f>
        <v/>
      </c>
      <c r="E50" s="7">
        <f>5%+15%*(A50-1)/59</f>
        <v/>
      </c>
      <c r="F50" s="7">
        <f>1-G50-H50</f>
        <v/>
      </c>
      <c r="G50" s="7">
        <f>30%+30%*(A50-1)/59</f>
        <v/>
      </c>
      <c r="H50" s="7">
        <f>1%+2%*(A50-1)/59</f>
        <v/>
      </c>
      <c r="I50" s="7">
        <f>1-J50</f>
        <v/>
      </c>
      <c r="J50" s="7">
        <f>20%+20%*(A50-1)/59</f>
        <v/>
      </c>
      <c r="K50" s="4" t="n">
        <v>1</v>
      </c>
    </row>
    <row r="51">
      <c r="A51" s="2" t="n">
        <v>50</v>
      </c>
      <c r="B51" s="7">
        <f>1-C51</f>
        <v/>
      </c>
      <c r="C51" s="7">
        <f>8%+17%*(A51-1)/59</f>
        <v/>
      </c>
      <c r="D51" s="7">
        <f>1-E51</f>
        <v/>
      </c>
      <c r="E51" s="7">
        <f>5%+15%*(A51-1)/59</f>
        <v/>
      </c>
      <c r="F51" s="7">
        <f>1-G51-H51</f>
        <v/>
      </c>
      <c r="G51" s="7">
        <f>30%+30%*(A51-1)/59</f>
        <v/>
      </c>
      <c r="H51" s="7">
        <f>1%+2%*(A51-1)/59</f>
        <v/>
      </c>
      <c r="I51" s="7">
        <f>1-J51</f>
        <v/>
      </c>
      <c r="J51" s="7">
        <f>20%+20%*(A51-1)/59</f>
        <v/>
      </c>
      <c r="K51" s="4" t="n">
        <v>1</v>
      </c>
    </row>
    <row r="52">
      <c r="A52" s="2" t="n">
        <v>51</v>
      </c>
      <c r="B52" s="7">
        <f>1-C52</f>
        <v/>
      </c>
      <c r="C52" s="7">
        <f>8%+17%*(A52-1)/59</f>
        <v/>
      </c>
      <c r="D52" s="7">
        <f>1-E52</f>
        <v/>
      </c>
      <c r="E52" s="7">
        <f>5%+15%*(A52-1)/59</f>
        <v/>
      </c>
      <c r="F52" s="7">
        <f>1-G52-H52</f>
        <v/>
      </c>
      <c r="G52" s="7">
        <f>30%+30%*(A52-1)/59</f>
        <v/>
      </c>
      <c r="H52" s="7">
        <f>1%+2%*(A52-1)/59</f>
        <v/>
      </c>
      <c r="I52" s="7">
        <f>1-J52</f>
        <v/>
      </c>
      <c r="J52" s="7">
        <f>20%+20%*(A52-1)/59</f>
        <v/>
      </c>
      <c r="K52" s="4" t="n">
        <v>1</v>
      </c>
    </row>
    <row r="53">
      <c r="A53" s="2" t="n">
        <v>52</v>
      </c>
      <c r="B53" s="7">
        <f>1-C53</f>
        <v/>
      </c>
      <c r="C53" s="7">
        <f>8%+17%*(A53-1)/59</f>
        <v/>
      </c>
      <c r="D53" s="7">
        <f>1-E53</f>
        <v/>
      </c>
      <c r="E53" s="7">
        <f>5%+15%*(A53-1)/59</f>
        <v/>
      </c>
      <c r="F53" s="7">
        <f>1-G53-H53</f>
        <v/>
      </c>
      <c r="G53" s="7">
        <f>30%+30%*(A53-1)/59</f>
        <v/>
      </c>
      <c r="H53" s="7">
        <f>1%+2%*(A53-1)/59</f>
        <v/>
      </c>
      <c r="I53" s="7">
        <f>1-J53</f>
        <v/>
      </c>
      <c r="J53" s="7">
        <f>20%+20%*(A53-1)/59</f>
        <v/>
      </c>
      <c r="K53" s="4" t="n">
        <v>1</v>
      </c>
    </row>
    <row r="54">
      <c r="A54" s="2" t="n">
        <v>53</v>
      </c>
      <c r="B54" s="7">
        <f>1-C54</f>
        <v/>
      </c>
      <c r="C54" s="7">
        <f>8%+17%*(A54-1)/59</f>
        <v/>
      </c>
      <c r="D54" s="7">
        <f>1-E54</f>
        <v/>
      </c>
      <c r="E54" s="7">
        <f>5%+15%*(A54-1)/59</f>
        <v/>
      </c>
      <c r="F54" s="7">
        <f>1-G54-H54</f>
        <v/>
      </c>
      <c r="G54" s="7">
        <f>30%+30%*(A54-1)/59</f>
        <v/>
      </c>
      <c r="H54" s="7">
        <f>1%+2%*(A54-1)/59</f>
        <v/>
      </c>
      <c r="I54" s="7">
        <f>1-J54</f>
        <v/>
      </c>
      <c r="J54" s="7">
        <f>20%+20%*(A54-1)/59</f>
        <v/>
      </c>
      <c r="K54" s="4" t="n">
        <v>1</v>
      </c>
    </row>
    <row r="55">
      <c r="A55" s="2" t="n">
        <v>54</v>
      </c>
      <c r="B55" s="7">
        <f>1-C55</f>
        <v/>
      </c>
      <c r="C55" s="7">
        <f>8%+17%*(A55-1)/59</f>
        <v/>
      </c>
      <c r="D55" s="7">
        <f>1-E55</f>
        <v/>
      </c>
      <c r="E55" s="7">
        <f>5%+15%*(A55-1)/59</f>
        <v/>
      </c>
      <c r="F55" s="7">
        <f>1-G55-H55</f>
        <v/>
      </c>
      <c r="G55" s="7">
        <f>30%+30%*(A55-1)/59</f>
        <v/>
      </c>
      <c r="H55" s="7">
        <f>1%+2%*(A55-1)/59</f>
        <v/>
      </c>
      <c r="I55" s="7">
        <f>1-J55</f>
        <v/>
      </c>
      <c r="J55" s="7">
        <f>20%+20%*(A55-1)/59</f>
        <v/>
      </c>
      <c r="K55" s="4" t="n">
        <v>1</v>
      </c>
    </row>
    <row r="56">
      <c r="A56" s="2" t="n">
        <v>55</v>
      </c>
      <c r="B56" s="7">
        <f>1-C56</f>
        <v/>
      </c>
      <c r="C56" s="7">
        <f>8%+17%*(A56-1)/59</f>
        <v/>
      </c>
      <c r="D56" s="7">
        <f>1-E56</f>
        <v/>
      </c>
      <c r="E56" s="7">
        <f>5%+15%*(A56-1)/59</f>
        <v/>
      </c>
      <c r="F56" s="7">
        <f>1-G56-H56</f>
        <v/>
      </c>
      <c r="G56" s="7">
        <f>30%+30%*(A56-1)/59</f>
        <v/>
      </c>
      <c r="H56" s="7">
        <f>1%+2%*(A56-1)/59</f>
        <v/>
      </c>
      <c r="I56" s="7">
        <f>1-J56</f>
        <v/>
      </c>
      <c r="J56" s="7">
        <f>20%+20%*(A56-1)/59</f>
        <v/>
      </c>
      <c r="K56" s="4" t="n">
        <v>1</v>
      </c>
    </row>
    <row r="57">
      <c r="A57" s="2" t="n">
        <v>56</v>
      </c>
      <c r="B57" s="7">
        <f>1-C57</f>
        <v/>
      </c>
      <c r="C57" s="7">
        <f>8%+17%*(A57-1)/59</f>
        <v/>
      </c>
      <c r="D57" s="7">
        <f>1-E57</f>
        <v/>
      </c>
      <c r="E57" s="7">
        <f>5%+15%*(A57-1)/59</f>
        <v/>
      </c>
      <c r="F57" s="7">
        <f>1-G57-H57</f>
        <v/>
      </c>
      <c r="G57" s="7">
        <f>30%+30%*(A57-1)/59</f>
        <v/>
      </c>
      <c r="H57" s="7">
        <f>1%+2%*(A57-1)/59</f>
        <v/>
      </c>
      <c r="I57" s="7">
        <f>1-J57</f>
        <v/>
      </c>
      <c r="J57" s="7">
        <f>20%+20%*(A57-1)/59</f>
        <v/>
      </c>
      <c r="K57" s="4" t="n">
        <v>1</v>
      </c>
    </row>
    <row r="58">
      <c r="A58" s="2" t="n">
        <v>57</v>
      </c>
      <c r="B58" s="7">
        <f>1-C58</f>
        <v/>
      </c>
      <c r="C58" s="7">
        <f>8%+17%*(A58-1)/59</f>
        <v/>
      </c>
      <c r="D58" s="7">
        <f>1-E58</f>
        <v/>
      </c>
      <c r="E58" s="7">
        <f>5%+15%*(A58-1)/59</f>
        <v/>
      </c>
      <c r="F58" s="7">
        <f>1-G58-H58</f>
        <v/>
      </c>
      <c r="G58" s="7">
        <f>30%+30%*(A58-1)/59</f>
        <v/>
      </c>
      <c r="H58" s="7">
        <f>1%+2%*(A58-1)/59</f>
        <v/>
      </c>
      <c r="I58" s="7">
        <f>1-J58</f>
        <v/>
      </c>
      <c r="J58" s="7">
        <f>20%+20%*(A58-1)/59</f>
        <v/>
      </c>
      <c r="K58" s="4" t="n">
        <v>1</v>
      </c>
    </row>
    <row r="59">
      <c r="A59" s="2" t="n">
        <v>58</v>
      </c>
      <c r="B59" s="7">
        <f>1-C59</f>
        <v/>
      </c>
      <c r="C59" s="7">
        <f>8%+17%*(A59-1)/59</f>
        <v/>
      </c>
      <c r="D59" s="7">
        <f>1-E59</f>
        <v/>
      </c>
      <c r="E59" s="7">
        <f>5%+15%*(A59-1)/59</f>
        <v/>
      </c>
      <c r="F59" s="7">
        <f>1-G59-H59</f>
        <v/>
      </c>
      <c r="G59" s="7">
        <f>30%+30%*(A59-1)/59</f>
        <v/>
      </c>
      <c r="H59" s="7">
        <f>1%+2%*(A59-1)/59</f>
        <v/>
      </c>
      <c r="I59" s="7">
        <f>1-J59</f>
        <v/>
      </c>
      <c r="J59" s="7">
        <f>20%+20%*(A59-1)/59</f>
        <v/>
      </c>
      <c r="K59" s="4" t="n">
        <v>1</v>
      </c>
    </row>
    <row r="60">
      <c r="A60" s="2" t="n">
        <v>59</v>
      </c>
      <c r="B60" s="7">
        <f>1-C60</f>
        <v/>
      </c>
      <c r="C60" s="7">
        <f>8%+17%*(A60-1)/59</f>
        <v/>
      </c>
      <c r="D60" s="7">
        <f>1-E60</f>
        <v/>
      </c>
      <c r="E60" s="7">
        <f>5%+15%*(A60-1)/59</f>
        <v/>
      </c>
      <c r="F60" s="7">
        <f>1-G60-H60</f>
        <v/>
      </c>
      <c r="G60" s="7">
        <f>30%+30%*(A60-1)/59</f>
        <v/>
      </c>
      <c r="H60" s="7">
        <f>1%+2%*(A60-1)/59</f>
        <v/>
      </c>
      <c r="I60" s="7">
        <f>1-J60</f>
        <v/>
      </c>
      <c r="J60" s="7">
        <f>20%+20%*(A60-1)/59</f>
        <v/>
      </c>
      <c r="K60" s="4" t="n">
        <v>1</v>
      </c>
    </row>
    <row r="61">
      <c r="A61" s="2" t="n">
        <v>60</v>
      </c>
      <c r="B61" s="7">
        <f>1-C61</f>
        <v/>
      </c>
      <c r="C61" s="7">
        <f>8%+17%*(A61-1)/59</f>
        <v/>
      </c>
      <c r="D61" s="7">
        <f>1-E61</f>
        <v/>
      </c>
      <c r="E61" s="7">
        <f>5%+15%*(A61-1)/59</f>
        <v/>
      </c>
      <c r="F61" s="7">
        <f>1-G61-H61</f>
        <v/>
      </c>
      <c r="G61" s="7">
        <f>30%+30%*(A61-1)/59</f>
        <v/>
      </c>
      <c r="H61" s="7">
        <f>1%+2%*(A61-1)/59</f>
        <v/>
      </c>
      <c r="I61" s="7">
        <f>1-J61</f>
        <v/>
      </c>
      <c r="J61" s="7">
        <f>20%+20%*(A61-1)/59</f>
        <v/>
      </c>
      <c r="K61" s="4" t="n">
        <v>1</v>
      </c>
    </row>
  </sheetData>
  <autoFilter ref="A1:K61"/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1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1" customWidth="1" min="11" max="11"/>
    <col width="19" customWidth="1" min="12" max="12"/>
  </cols>
  <sheetData>
    <row r="1">
      <c r="A1" s="1" t="inlineStr">
        <is>
          <t>打造档</t>
        </is>
      </c>
      <c r="B1" s="1" t="inlineStr">
        <is>
          <t>主材阶位</t>
        </is>
      </c>
      <c r="C1" s="1" t="inlineStr">
        <is>
          <t>打造档位等级</t>
        </is>
      </c>
      <c r="D1" s="1" t="inlineStr">
        <is>
          <t>可打造装备等级</t>
        </is>
      </c>
      <c r="E1" s="1" t="inlineStr">
        <is>
          <t>金币(暂沿用旧档)</t>
        </is>
      </c>
      <c r="F1" s="1" t="inlineStr">
        <is>
          <t>紫主材每种副材</t>
        </is>
      </c>
      <c r="G1" s="1" t="inlineStr">
        <is>
          <t>金主材每种副材</t>
        </is>
      </c>
      <c r="H1" s="1" t="inlineStr">
        <is>
          <t>红主材每种副材</t>
        </is>
      </c>
      <c r="I1" s="1" t="inlineStr">
        <is>
          <t>武器消耗副材</t>
        </is>
      </c>
      <c r="J1" s="1" t="inlineStr">
        <is>
          <t>防具消耗副材</t>
        </is>
      </c>
      <c r="K1" s="1" t="inlineStr">
        <is>
          <t>首饰消耗副材</t>
        </is>
      </c>
      <c r="L1" s="1" t="inlineStr">
        <is>
          <t>备注</t>
        </is>
      </c>
    </row>
    <row r="2">
      <c r="A2" s="2" t="n">
        <v>1</v>
      </c>
      <c r="B2" s="2" t="inlineStr">
        <is>
          <t>I</t>
        </is>
      </c>
      <c r="C2" s="2" t="n">
        <v>10</v>
      </c>
      <c r="D2" s="2" t="inlineStr">
        <is>
          <t>10（100%）</t>
        </is>
      </c>
      <c r="E2" s="2" t="n">
        <v>500</v>
      </c>
      <c r="F2" s="2" t="n">
        <v>1</v>
      </c>
      <c r="G2" s="2" t="n">
        <v>2</v>
      </c>
      <c r="H2" s="2" t="n">
        <v>3</v>
      </c>
      <c r="I2" s="2" t="inlineStr">
        <is>
          <t>副材1 + 副材2</t>
        </is>
      </c>
      <c r="J2" s="2" t="inlineStr">
        <is>
          <t>副材2 + 副材3</t>
        </is>
      </c>
      <c r="K2" s="2" t="inlineStr">
        <is>
          <t>副材3 + 副材4</t>
        </is>
      </c>
      <c r="L2" s="2" t="inlineStr">
        <is>
          <t>每次主材 x1；副材数量为每种数量</t>
        </is>
      </c>
    </row>
    <row r="3">
      <c r="A3" s="2" t="n">
        <v>2</v>
      </c>
      <c r="B3" s="2" t="inlineStr">
        <is>
          <t>II</t>
        </is>
      </c>
      <c r="C3" s="2" t="n">
        <v>20</v>
      </c>
      <c r="D3" s="2" t="inlineStr">
        <is>
          <t>15 / 20（70% / 30%）</t>
        </is>
      </c>
      <c r="E3" s="2" t="n">
        <v>1200</v>
      </c>
      <c r="F3" s="2" t="n">
        <v>2</v>
      </c>
      <c r="G3" s="2" t="n">
        <v>4</v>
      </c>
      <c r="H3" s="2" t="n">
        <v>6</v>
      </c>
      <c r="I3" s="2" t="inlineStr">
        <is>
          <t>副材1 + 副材2</t>
        </is>
      </c>
      <c r="J3" s="2" t="inlineStr">
        <is>
          <t>副材2 + 副材3</t>
        </is>
      </c>
      <c r="K3" s="2" t="inlineStr">
        <is>
          <t>副材3 + 副材4</t>
        </is>
      </c>
      <c r="L3" s="2" t="inlineStr">
        <is>
          <t>每次主材 x1；副材数量为每种数量</t>
        </is>
      </c>
    </row>
    <row r="4">
      <c r="A4" s="2" t="n">
        <v>3</v>
      </c>
      <c r="B4" s="2" t="inlineStr">
        <is>
          <t>III</t>
        </is>
      </c>
      <c r="C4" s="2" t="n">
        <v>30</v>
      </c>
      <c r="D4" s="2" t="inlineStr">
        <is>
          <t>25 / 30（70% / 30%）</t>
        </is>
      </c>
      <c r="E4" s="2" t="n">
        <v>2800</v>
      </c>
      <c r="F4" s="2" t="n">
        <v>4</v>
      </c>
      <c r="G4" s="2" t="n">
        <v>6</v>
      </c>
      <c r="H4" s="2" t="n">
        <v>9</v>
      </c>
      <c r="I4" s="2" t="inlineStr">
        <is>
          <t>副材1 + 副材2</t>
        </is>
      </c>
      <c r="J4" s="2" t="inlineStr">
        <is>
          <t>副材2 + 副材3</t>
        </is>
      </c>
      <c r="K4" s="2" t="inlineStr">
        <is>
          <t>副材3 + 副材4</t>
        </is>
      </c>
      <c r="L4" s="2" t="inlineStr">
        <is>
          <t>每次主材 x1；副材数量为每种数量</t>
        </is>
      </c>
    </row>
    <row r="5">
      <c r="A5" s="2" t="n">
        <v>4</v>
      </c>
      <c r="B5" s="2" t="inlineStr">
        <is>
          <t>IV</t>
        </is>
      </c>
      <c r="C5" s="2" t="n">
        <v>40</v>
      </c>
      <c r="D5" s="2" t="inlineStr">
        <is>
          <t>35 / 40（70% / 30%）</t>
        </is>
      </c>
      <c r="E5" s="2" t="n">
        <v>6200</v>
      </c>
      <c r="F5" s="2" t="n">
        <v>6</v>
      </c>
      <c r="G5" s="2" t="n">
        <v>10</v>
      </c>
      <c r="H5" s="2" t="n">
        <v>15</v>
      </c>
      <c r="I5" s="2" t="inlineStr">
        <is>
          <t>副材1 + 副材2</t>
        </is>
      </c>
      <c r="J5" s="2" t="inlineStr">
        <is>
          <t>副材2 + 副材3</t>
        </is>
      </c>
      <c r="K5" s="2" t="inlineStr">
        <is>
          <t>副材3 + 副材4</t>
        </is>
      </c>
      <c r="L5" s="2" t="inlineStr">
        <is>
          <t>每次主材 x1；副材数量为每种数量</t>
        </is>
      </c>
    </row>
    <row r="6">
      <c r="A6" s="2" t="n">
        <v>5</v>
      </c>
      <c r="B6" s="2" t="inlineStr">
        <is>
          <t>V</t>
        </is>
      </c>
      <c r="C6" s="2" t="n">
        <v>45</v>
      </c>
      <c r="D6" s="2" t="inlineStr">
        <is>
          <t>40 / 45（65% / 35%）</t>
        </is>
      </c>
      <c r="E6" s="2" t="n">
        <v>9000</v>
      </c>
      <c r="F6" s="2" t="n">
        <v>8</v>
      </c>
      <c r="G6" s="2" t="n">
        <v>12</v>
      </c>
      <c r="H6" s="2" t="n">
        <v>18</v>
      </c>
      <c r="I6" s="2" t="inlineStr">
        <is>
          <t>副材1 + 副材2</t>
        </is>
      </c>
      <c r="J6" s="2" t="inlineStr">
        <is>
          <t>副材2 + 副材3</t>
        </is>
      </c>
      <c r="K6" s="2" t="inlineStr">
        <is>
          <t>副材3 + 副材4</t>
        </is>
      </c>
      <c r="L6" s="2" t="inlineStr">
        <is>
          <t>每次主材 x1；副材数量为每种数量</t>
        </is>
      </c>
    </row>
    <row r="7">
      <c r="A7" s="2" t="n">
        <v>6</v>
      </c>
      <c r="B7" s="2" t="inlineStr">
        <is>
          <t>VI</t>
        </is>
      </c>
      <c r="C7" s="2" t="n">
        <v>50</v>
      </c>
      <c r="D7" s="2" t="inlineStr">
        <is>
          <t>45 / 50（65% / 35%）</t>
        </is>
      </c>
      <c r="E7" s="2" t="n">
        <v>13000</v>
      </c>
      <c r="F7" s="2" t="n">
        <v>10</v>
      </c>
      <c r="G7" s="2" t="n">
        <v>15</v>
      </c>
      <c r="H7" s="2" t="n">
        <v>23</v>
      </c>
      <c r="I7" s="2" t="inlineStr">
        <is>
          <t>副材1 + 副材2</t>
        </is>
      </c>
      <c r="J7" s="2" t="inlineStr">
        <is>
          <t>副材2 + 副材3</t>
        </is>
      </c>
      <c r="K7" s="2" t="inlineStr">
        <is>
          <t>副材3 + 副材4</t>
        </is>
      </c>
      <c r="L7" s="2" t="inlineStr">
        <is>
          <t>每次主材 x1；副材数量为每种数量</t>
        </is>
      </c>
    </row>
    <row r="8">
      <c r="A8" s="2" t="n">
        <v>7</v>
      </c>
      <c r="B8" s="2" t="inlineStr">
        <is>
          <t>VII</t>
        </is>
      </c>
      <c r="C8" s="2" t="n">
        <v>55</v>
      </c>
      <c r="D8" s="2" t="inlineStr">
        <is>
          <t>50 / 55（65% / 35%）</t>
        </is>
      </c>
      <c r="E8" s="2" t="n">
        <v>18000</v>
      </c>
      <c r="F8" s="2" t="n">
        <v>13</v>
      </c>
      <c r="G8" s="2" t="n">
        <v>19</v>
      </c>
      <c r="H8" s="2" t="n">
        <v>29</v>
      </c>
      <c r="I8" s="2" t="inlineStr">
        <is>
          <t>副材1 + 副材2</t>
        </is>
      </c>
      <c r="J8" s="2" t="inlineStr">
        <is>
          <t>副材2 + 副材3</t>
        </is>
      </c>
      <c r="K8" s="2" t="inlineStr">
        <is>
          <t>副材3 + 副材4</t>
        </is>
      </c>
      <c r="L8" s="2" t="inlineStr">
        <is>
          <t>每次主材 x1；副材数量为每种数量</t>
        </is>
      </c>
    </row>
    <row r="9">
      <c r="A9" s="2" t="n">
        <v>8</v>
      </c>
      <c r="B9" s="2" t="inlineStr">
        <is>
          <t>VIII</t>
        </is>
      </c>
      <c r="C9" s="2" t="n">
        <v>60</v>
      </c>
      <c r="D9" s="2" t="inlineStr">
        <is>
          <t>55 / 60（65% / 35%）</t>
        </is>
      </c>
      <c r="E9" s="2" t="n">
        <v>24000</v>
      </c>
      <c r="F9" s="2" t="n">
        <v>16</v>
      </c>
      <c r="G9" s="2" t="n">
        <v>24</v>
      </c>
      <c r="H9" s="2" t="n">
        <v>36</v>
      </c>
      <c r="I9" s="2" t="inlineStr">
        <is>
          <t>副材1 + 副材2</t>
        </is>
      </c>
      <c r="J9" s="2" t="inlineStr">
        <is>
          <t>副材2 + 副材3</t>
        </is>
      </c>
      <c r="K9" s="2" t="inlineStr">
        <is>
          <t>副材3 + 副材4</t>
        </is>
      </c>
      <c r="L9" s="2" t="inlineStr">
        <is>
          <t>每次主材 x1；副材数量为每种数量</t>
        </is>
      </c>
    </row>
  </sheetData>
  <autoFilter ref="A1:L9"/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9" customWidth="1" min="5" max="5"/>
    <col width="10" customWidth="1" min="6" max="6"/>
  </cols>
  <sheetData>
    <row r="1">
      <c r="A1" s="1" t="inlineStr">
        <is>
          <t>锻造台Lv</t>
        </is>
      </c>
      <c r="B1" s="1" t="inlineStr">
        <is>
          <t>紫主材出紫</t>
        </is>
      </c>
      <c r="C1" s="1" t="inlineStr">
        <is>
          <t>紫主材出金</t>
        </is>
      </c>
      <c r="D1" s="1" t="inlineStr">
        <is>
          <t>金主材出金</t>
        </is>
      </c>
      <c r="E1" s="1" t="inlineStr">
        <is>
          <t>金主材出红</t>
        </is>
      </c>
      <c r="F1" s="1" t="inlineStr">
        <is>
          <t>红主材出红</t>
        </is>
      </c>
    </row>
    <row r="2">
      <c r="A2" s="2" t="n">
        <v>1</v>
      </c>
      <c r="B2" s="7">
        <f>1-C2</f>
        <v/>
      </c>
      <c r="C2" s="7">
        <f>10%+10%*(A2-1)/59</f>
        <v/>
      </c>
      <c r="D2" s="7">
        <f>1-E2</f>
        <v/>
      </c>
      <c r="E2" s="7">
        <f>2%+3%*(A2-1)/59</f>
        <v/>
      </c>
      <c r="F2" s="4" t="n">
        <v>1</v>
      </c>
    </row>
    <row r="3">
      <c r="A3" s="2" t="n">
        <v>2</v>
      </c>
      <c r="B3" s="7">
        <f>1-C3</f>
        <v/>
      </c>
      <c r="C3" s="7">
        <f>10%+10%*(A3-1)/59</f>
        <v/>
      </c>
      <c r="D3" s="7">
        <f>1-E3</f>
        <v/>
      </c>
      <c r="E3" s="7">
        <f>2%+3%*(A3-1)/59</f>
        <v/>
      </c>
      <c r="F3" s="4" t="n">
        <v>1</v>
      </c>
    </row>
    <row r="4">
      <c r="A4" s="2" t="n">
        <v>3</v>
      </c>
      <c r="B4" s="7">
        <f>1-C4</f>
        <v/>
      </c>
      <c r="C4" s="7">
        <f>10%+10%*(A4-1)/59</f>
        <v/>
      </c>
      <c r="D4" s="7">
        <f>1-E4</f>
        <v/>
      </c>
      <c r="E4" s="7">
        <f>2%+3%*(A4-1)/59</f>
        <v/>
      </c>
      <c r="F4" s="4" t="n">
        <v>1</v>
      </c>
    </row>
    <row r="5">
      <c r="A5" s="2" t="n">
        <v>4</v>
      </c>
      <c r="B5" s="7">
        <f>1-C5</f>
        <v/>
      </c>
      <c r="C5" s="7">
        <f>10%+10%*(A5-1)/59</f>
        <v/>
      </c>
      <c r="D5" s="7">
        <f>1-E5</f>
        <v/>
      </c>
      <c r="E5" s="7">
        <f>2%+3%*(A5-1)/59</f>
        <v/>
      </c>
      <c r="F5" s="4" t="n">
        <v>1</v>
      </c>
    </row>
    <row r="6">
      <c r="A6" s="2" t="n">
        <v>5</v>
      </c>
      <c r="B6" s="7">
        <f>1-C6</f>
        <v/>
      </c>
      <c r="C6" s="7">
        <f>10%+10%*(A6-1)/59</f>
        <v/>
      </c>
      <c r="D6" s="7">
        <f>1-E6</f>
        <v/>
      </c>
      <c r="E6" s="7">
        <f>2%+3%*(A6-1)/59</f>
        <v/>
      </c>
      <c r="F6" s="4" t="n">
        <v>1</v>
      </c>
    </row>
    <row r="7">
      <c r="A7" s="2" t="n">
        <v>6</v>
      </c>
      <c r="B7" s="7">
        <f>1-C7</f>
        <v/>
      </c>
      <c r="C7" s="7">
        <f>10%+10%*(A7-1)/59</f>
        <v/>
      </c>
      <c r="D7" s="7">
        <f>1-E7</f>
        <v/>
      </c>
      <c r="E7" s="7">
        <f>2%+3%*(A7-1)/59</f>
        <v/>
      </c>
      <c r="F7" s="4" t="n">
        <v>1</v>
      </c>
    </row>
    <row r="8">
      <c r="A8" s="2" t="n">
        <v>7</v>
      </c>
      <c r="B8" s="7">
        <f>1-C8</f>
        <v/>
      </c>
      <c r="C8" s="7">
        <f>10%+10%*(A8-1)/59</f>
        <v/>
      </c>
      <c r="D8" s="7">
        <f>1-E8</f>
        <v/>
      </c>
      <c r="E8" s="7">
        <f>2%+3%*(A8-1)/59</f>
        <v/>
      </c>
      <c r="F8" s="4" t="n">
        <v>1</v>
      </c>
    </row>
    <row r="9">
      <c r="A9" s="2" t="n">
        <v>8</v>
      </c>
      <c r="B9" s="7">
        <f>1-C9</f>
        <v/>
      </c>
      <c r="C9" s="7">
        <f>10%+10%*(A9-1)/59</f>
        <v/>
      </c>
      <c r="D9" s="7">
        <f>1-E9</f>
        <v/>
      </c>
      <c r="E9" s="7">
        <f>2%+3%*(A9-1)/59</f>
        <v/>
      </c>
      <c r="F9" s="4" t="n">
        <v>1</v>
      </c>
    </row>
    <row r="10">
      <c r="A10" s="2" t="n">
        <v>9</v>
      </c>
      <c r="B10" s="7">
        <f>1-C10</f>
        <v/>
      </c>
      <c r="C10" s="7">
        <f>10%+10%*(A10-1)/59</f>
        <v/>
      </c>
      <c r="D10" s="7">
        <f>1-E10</f>
        <v/>
      </c>
      <c r="E10" s="7">
        <f>2%+3%*(A10-1)/59</f>
        <v/>
      </c>
      <c r="F10" s="4" t="n">
        <v>1</v>
      </c>
    </row>
    <row r="11">
      <c r="A11" s="2" t="n">
        <v>10</v>
      </c>
      <c r="B11" s="7">
        <f>1-C11</f>
        <v/>
      </c>
      <c r="C11" s="7">
        <f>10%+10%*(A11-1)/59</f>
        <v/>
      </c>
      <c r="D11" s="7">
        <f>1-E11</f>
        <v/>
      </c>
      <c r="E11" s="7">
        <f>2%+3%*(A11-1)/59</f>
        <v/>
      </c>
      <c r="F11" s="4" t="n">
        <v>1</v>
      </c>
    </row>
    <row r="12">
      <c r="A12" s="2" t="n">
        <v>11</v>
      </c>
      <c r="B12" s="7">
        <f>1-C12</f>
        <v/>
      </c>
      <c r="C12" s="7">
        <f>10%+10%*(A12-1)/59</f>
        <v/>
      </c>
      <c r="D12" s="7">
        <f>1-E12</f>
        <v/>
      </c>
      <c r="E12" s="7">
        <f>2%+3%*(A12-1)/59</f>
        <v/>
      </c>
      <c r="F12" s="4" t="n">
        <v>1</v>
      </c>
    </row>
    <row r="13">
      <c r="A13" s="2" t="n">
        <v>12</v>
      </c>
      <c r="B13" s="7">
        <f>1-C13</f>
        <v/>
      </c>
      <c r="C13" s="7">
        <f>10%+10%*(A13-1)/59</f>
        <v/>
      </c>
      <c r="D13" s="7">
        <f>1-E13</f>
        <v/>
      </c>
      <c r="E13" s="7">
        <f>2%+3%*(A13-1)/59</f>
        <v/>
      </c>
      <c r="F13" s="4" t="n">
        <v>1</v>
      </c>
    </row>
    <row r="14">
      <c r="A14" s="2" t="n">
        <v>13</v>
      </c>
      <c r="B14" s="7">
        <f>1-C14</f>
        <v/>
      </c>
      <c r="C14" s="7">
        <f>10%+10%*(A14-1)/59</f>
        <v/>
      </c>
      <c r="D14" s="7">
        <f>1-E14</f>
        <v/>
      </c>
      <c r="E14" s="7">
        <f>2%+3%*(A14-1)/59</f>
        <v/>
      </c>
      <c r="F14" s="4" t="n">
        <v>1</v>
      </c>
    </row>
    <row r="15">
      <c r="A15" s="2" t="n">
        <v>14</v>
      </c>
      <c r="B15" s="7">
        <f>1-C15</f>
        <v/>
      </c>
      <c r="C15" s="7">
        <f>10%+10%*(A15-1)/59</f>
        <v/>
      </c>
      <c r="D15" s="7">
        <f>1-E15</f>
        <v/>
      </c>
      <c r="E15" s="7">
        <f>2%+3%*(A15-1)/59</f>
        <v/>
      </c>
      <c r="F15" s="4" t="n">
        <v>1</v>
      </c>
    </row>
    <row r="16">
      <c r="A16" s="2" t="n">
        <v>15</v>
      </c>
      <c r="B16" s="7">
        <f>1-C16</f>
        <v/>
      </c>
      <c r="C16" s="7">
        <f>10%+10%*(A16-1)/59</f>
        <v/>
      </c>
      <c r="D16" s="7">
        <f>1-E16</f>
        <v/>
      </c>
      <c r="E16" s="7">
        <f>2%+3%*(A16-1)/59</f>
        <v/>
      </c>
      <c r="F16" s="4" t="n">
        <v>1</v>
      </c>
    </row>
    <row r="17">
      <c r="A17" s="2" t="n">
        <v>16</v>
      </c>
      <c r="B17" s="7">
        <f>1-C17</f>
        <v/>
      </c>
      <c r="C17" s="7">
        <f>10%+10%*(A17-1)/59</f>
        <v/>
      </c>
      <c r="D17" s="7">
        <f>1-E17</f>
        <v/>
      </c>
      <c r="E17" s="7">
        <f>2%+3%*(A17-1)/59</f>
        <v/>
      </c>
      <c r="F17" s="4" t="n">
        <v>1</v>
      </c>
    </row>
    <row r="18">
      <c r="A18" s="2" t="n">
        <v>17</v>
      </c>
      <c r="B18" s="7">
        <f>1-C18</f>
        <v/>
      </c>
      <c r="C18" s="7">
        <f>10%+10%*(A18-1)/59</f>
        <v/>
      </c>
      <c r="D18" s="7">
        <f>1-E18</f>
        <v/>
      </c>
      <c r="E18" s="7">
        <f>2%+3%*(A18-1)/59</f>
        <v/>
      </c>
      <c r="F18" s="4" t="n">
        <v>1</v>
      </c>
    </row>
    <row r="19">
      <c r="A19" s="2" t="n">
        <v>18</v>
      </c>
      <c r="B19" s="7">
        <f>1-C19</f>
        <v/>
      </c>
      <c r="C19" s="7">
        <f>10%+10%*(A19-1)/59</f>
        <v/>
      </c>
      <c r="D19" s="7">
        <f>1-E19</f>
        <v/>
      </c>
      <c r="E19" s="7">
        <f>2%+3%*(A19-1)/59</f>
        <v/>
      </c>
      <c r="F19" s="4" t="n">
        <v>1</v>
      </c>
    </row>
    <row r="20">
      <c r="A20" s="2" t="n">
        <v>19</v>
      </c>
      <c r="B20" s="7">
        <f>1-C20</f>
        <v/>
      </c>
      <c r="C20" s="7">
        <f>10%+10%*(A20-1)/59</f>
        <v/>
      </c>
      <c r="D20" s="7">
        <f>1-E20</f>
        <v/>
      </c>
      <c r="E20" s="7">
        <f>2%+3%*(A20-1)/59</f>
        <v/>
      </c>
      <c r="F20" s="4" t="n">
        <v>1</v>
      </c>
    </row>
    <row r="21">
      <c r="A21" s="2" t="n">
        <v>20</v>
      </c>
      <c r="B21" s="7">
        <f>1-C21</f>
        <v/>
      </c>
      <c r="C21" s="7">
        <f>10%+10%*(A21-1)/59</f>
        <v/>
      </c>
      <c r="D21" s="7">
        <f>1-E21</f>
        <v/>
      </c>
      <c r="E21" s="7">
        <f>2%+3%*(A21-1)/59</f>
        <v/>
      </c>
      <c r="F21" s="4" t="n">
        <v>1</v>
      </c>
    </row>
    <row r="22">
      <c r="A22" s="2" t="n">
        <v>21</v>
      </c>
      <c r="B22" s="7">
        <f>1-C22</f>
        <v/>
      </c>
      <c r="C22" s="7">
        <f>10%+10%*(A22-1)/59</f>
        <v/>
      </c>
      <c r="D22" s="7">
        <f>1-E22</f>
        <v/>
      </c>
      <c r="E22" s="7">
        <f>2%+3%*(A22-1)/59</f>
        <v/>
      </c>
      <c r="F22" s="4" t="n">
        <v>1</v>
      </c>
    </row>
    <row r="23">
      <c r="A23" s="2" t="n">
        <v>22</v>
      </c>
      <c r="B23" s="7">
        <f>1-C23</f>
        <v/>
      </c>
      <c r="C23" s="7">
        <f>10%+10%*(A23-1)/59</f>
        <v/>
      </c>
      <c r="D23" s="7">
        <f>1-E23</f>
        <v/>
      </c>
      <c r="E23" s="7">
        <f>2%+3%*(A23-1)/59</f>
        <v/>
      </c>
      <c r="F23" s="4" t="n">
        <v>1</v>
      </c>
    </row>
    <row r="24">
      <c r="A24" s="2" t="n">
        <v>23</v>
      </c>
      <c r="B24" s="7">
        <f>1-C24</f>
        <v/>
      </c>
      <c r="C24" s="7">
        <f>10%+10%*(A24-1)/59</f>
        <v/>
      </c>
      <c r="D24" s="7">
        <f>1-E24</f>
        <v/>
      </c>
      <c r="E24" s="7">
        <f>2%+3%*(A24-1)/59</f>
        <v/>
      </c>
      <c r="F24" s="4" t="n">
        <v>1</v>
      </c>
    </row>
    <row r="25">
      <c r="A25" s="2" t="n">
        <v>24</v>
      </c>
      <c r="B25" s="7">
        <f>1-C25</f>
        <v/>
      </c>
      <c r="C25" s="7">
        <f>10%+10%*(A25-1)/59</f>
        <v/>
      </c>
      <c r="D25" s="7">
        <f>1-E25</f>
        <v/>
      </c>
      <c r="E25" s="7">
        <f>2%+3%*(A25-1)/59</f>
        <v/>
      </c>
      <c r="F25" s="4" t="n">
        <v>1</v>
      </c>
    </row>
    <row r="26">
      <c r="A26" s="2" t="n">
        <v>25</v>
      </c>
      <c r="B26" s="7">
        <f>1-C26</f>
        <v/>
      </c>
      <c r="C26" s="7">
        <f>10%+10%*(A26-1)/59</f>
        <v/>
      </c>
      <c r="D26" s="7">
        <f>1-E26</f>
        <v/>
      </c>
      <c r="E26" s="7">
        <f>2%+3%*(A26-1)/59</f>
        <v/>
      </c>
      <c r="F26" s="4" t="n">
        <v>1</v>
      </c>
    </row>
    <row r="27">
      <c r="A27" s="2" t="n">
        <v>26</v>
      </c>
      <c r="B27" s="7">
        <f>1-C27</f>
        <v/>
      </c>
      <c r="C27" s="7">
        <f>10%+10%*(A27-1)/59</f>
        <v/>
      </c>
      <c r="D27" s="7">
        <f>1-E27</f>
        <v/>
      </c>
      <c r="E27" s="7">
        <f>2%+3%*(A27-1)/59</f>
        <v/>
      </c>
      <c r="F27" s="4" t="n">
        <v>1</v>
      </c>
    </row>
    <row r="28">
      <c r="A28" s="2" t="n">
        <v>27</v>
      </c>
      <c r="B28" s="7">
        <f>1-C28</f>
        <v/>
      </c>
      <c r="C28" s="7">
        <f>10%+10%*(A28-1)/59</f>
        <v/>
      </c>
      <c r="D28" s="7">
        <f>1-E28</f>
        <v/>
      </c>
      <c r="E28" s="7">
        <f>2%+3%*(A28-1)/59</f>
        <v/>
      </c>
      <c r="F28" s="4" t="n">
        <v>1</v>
      </c>
    </row>
    <row r="29">
      <c r="A29" s="2" t="n">
        <v>28</v>
      </c>
      <c r="B29" s="7">
        <f>1-C29</f>
        <v/>
      </c>
      <c r="C29" s="7">
        <f>10%+10%*(A29-1)/59</f>
        <v/>
      </c>
      <c r="D29" s="7">
        <f>1-E29</f>
        <v/>
      </c>
      <c r="E29" s="7">
        <f>2%+3%*(A29-1)/59</f>
        <v/>
      </c>
      <c r="F29" s="4" t="n">
        <v>1</v>
      </c>
    </row>
    <row r="30">
      <c r="A30" s="2" t="n">
        <v>29</v>
      </c>
      <c r="B30" s="7">
        <f>1-C30</f>
        <v/>
      </c>
      <c r="C30" s="7">
        <f>10%+10%*(A30-1)/59</f>
        <v/>
      </c>
      <c r="D30" s="7">
        <f>1-E30</f>
        <v/>
      </c>
      <c r="E30" s="7">
        <f>2%+3%*(A30-1)/59</f>
        <v/>
      </c>
      <c r="F30" s="4" t="n">
        <v>1</v>
      </c>
    </row>
    <row r="31">
      <c r="A31" s="2" t="n">
        <v>30</v>
      </c>
      <c r="B31" s="7">
        <f>1-C31</f>
        <v/>
      </c>
      <c r="C31" s="7">
        <f>10%+10%*(A31-1)/59</f>
        <v/>
      </c>
      <c r="D31" s="7">
        <f>1-E31</f>
        <v/>
      </c>
      <c r="E31" s="7">
        <f>2%+3%*(A31-1)/59</f>
        <v/>
      </c>
      <c r="F31" s="4" t="n">
        <v>1</v>
      </c>
    </row>
    <row r="32">
      <c r="A32" s="2" t="n">
        <v>31</v>
      </c>
      <c r="B32" s="7">
        <f>1-C32</f>
        <v/>
      </c>
      <c r="C32" s="7">
        <f>10%+10%*(A32-1)/59</f>
        <v/>
      </c>
      <c r="D32" s="7">
        <f>1-E32</f>
        <v/>
      </c>
      <c r="E32" s="7">
        <f>2%+3%*(A32-1)/59</f>
        <v/>
      </c>
      <c r="F32" s="4" t="n">
        <v>1</v>
      </c>
    </row>
    <row r="33">
      <c r="A33" s="2" t="n">
        <v>32</v>
      </c>
      <c r="B33" s="7">
        <f>1-C33</f>
        <v/>
      </c>
      <c r="C33" s="7">
        <f>10%+10%*(A33-1)/59</f>
        <v/>
      </c>
      <c r="D33" s="7">
        <f>1-E33</f>
        <v/>
      </c>
      <c r="E33" s="7">
        <f>2%+3%*(A33-1)/59</f>
        <v/>
      </c>
      <c r="F33" s="4" t="n">
        <v>1</v>
      </c>
    </row>
    <row r="34">
      <c r="A34" s="2" t="n">
        <v>33</v>
      </c>
      <c r="B34" s="7">
        <f>1-C34</f>
        <v/>
      </c>
      <c r="C34" s="7">
        <f>10%+10%*(A34-1)/59</f>
        <v/>
      </c>
      <c r="D34" s="7">
        <f>1-E34</f>
        <v/>
      </c>
      <c r="E34" s="7">
        <f>2%+3%*(A34-1)/59</f>
        <v/>
      </c>
      <c r="F34" s="4" t="n">
        <v>1</v>
      </c>
    </row>
    <row r="35">
      <c r="A35" s="2" t="n">
        <v>34</v>
      </c>
      <c r="B35" s="7">
        <f>1-C35</f>
        <v/>
      </c>
      <c r="C35" s="7">
        <f>10%+10%*(A35-1)/59</f>
        <v/>
      </c>
      <c r="D35" s="7">
        <f>1-E35</f>
        <v/>
      </c>
      <c r="E35" s="7">
        <f>2%+3%*(A35-1)/59</f>
        <v/>
      </c>
      <c r="F35" s="4" t="n">
        <v>1</v>
      </c>
    </row>
    <row r="36">
      <c r="A36" s="2" t="n">
        <v>35</v>
      </c>
      <c r="B36" s="7">
        <f>1-C36</f>
        <v/>
      </c>
      <c r="C36" s="7">
        <f>10%+10%*(A36-1)/59</f>
        <v/>
      </c>
      <c r="D36" s="7">
        <f>1-E36</f>
        <v/>
      </c>
      <c r="E36" s="7">
        <f>2%+3%*(A36-1)/59</f>
        <v/>
      </c>
      <c r="F36" s="4" t="n">
        <v>1</v>
      </c>
    </row>
    <row r="37">
      <c r="A37" s="2" t="n">
        <v>36</v>
      </c>
      <c r="B37" s="7">
        <f>1-C37</f>
        <v/>
      </c>
      <c r="C37" s="7">
        <f>10%+10%*(A37-1)/59</f>
        <v/>
      </c>
      <c r="D37" s="7">
        <f>1-E37</f>
        <v/>
      </c>
      <c r="E37" s="7">
        <f>2%+3%*(A37-1)/59</f>
        <v/>
      </c>
      <c r="F37" s="4" t="n">
        <v>1</v>
      </c>
    </row>
    <row r="38">
      <c r="A38" s="2" t="n">
        <v>37</v>
      </c>
      <c r="B38" s="7">
        <f>1-C38</f>
        <v/>
      </c>
      <c r="C38" s="7">
        <f>10%+10%*(A38-1)/59</f>
        <v/>
      </c>
      <c r="D38" s="7">
        <f>1-E38</f>
        <v/>
      </c>
      <c r="E38" s="7">
        <f>2%+3%*(A38-1)/59</f>
        <v/>
      </c>
      <c r="F38" s="4" t="n">
        <v>1</v>
      </c>
    </row>
    <row r="39">
      <c r="A39" s="2" t="n">
        <v>38</v>
      </c>
      <c r="B39" s="7">
        <f>1-C39</f>
        <v/>
      </c>
      <c r="C39" s="7">
        <f>10%+10%*(A39-1)/59</f>
        <v/>
      </c>
      <c r="D39" s="7">
        <f>1-E39</f>
        <v/>
      </c>
      <c r="E39" s="7">
        <f>2%+3%*(A39-1)/59</f>
        <v/>
      </c>
      <c r="F39" s="4" t="n">
        <v>1</v>
      </c>
    </row>
    <row r="40">
      <c r="A40" s="2" t="n">
        <v>39</v>
      </c>
      <c r="B40" s="7">
        <f>1-C40</f>
        <v/>
      </c>
      <c r="C40" s="7">
        <f>10%+10%*(A40-1)/59</f>
        <v/>
      </c>
      <c r="D40" s="7">
        <f>1-E40</f>
        <v/>
      </c>
      <c r="E40" s="7">
        <f>2%+3%*(A40-1)/59</f>
        <v/>
      </c>
      <c r="F40" s="4" t="n">
        <v>1</v>
      </c>
    </row>
    <row r="41">
      <c r="A41" s="2" t="n">
        <v>40</v>
      </c>
      <c r="B41" s="7">
        <f>1-C41</f>
        <v/>
      </c>
      <c r="C41" s="7">
        <f>10%+10%*(A41-1)/59</f>
        <v/>
      </c>
      <c r="D41" s="7">
        <f>1-E41</f>
        <v/>
      </c>
      <c r="E41" s="7">
        <f>2%+3%*(A41-1)/59</f>
        <v/>
      </c>
      <c r="F41" s="4" t="n">
        <v>1</v>
      </c>
    </row>
    <row r="42">
      <c r="A42" s="2" t="n">
        <v>41</v>
      </c>
      <c r="B42" s="7">
        <f>1-C42</f>
        <v/>
      </c>
      <c r="C42" s="7">
        <f>10%+10%*(A42-1)/59</f>
        <v/>
      </c>
      <c r="D42" s="7">
        <f>1-E42</f>
        <v/>
      </c>
      <c r="E42" s="7">
        <f>2%+3%*(A42-1)/59</f>
        <v/>
      </c>
      <c r="F42" s="4" t="n">
        <v>1</v>
      </c>
    </row>
    <row r="43">
      <c r="A43" s="2" t="n">
        <v>42</v>
      </c>
      <c r="B43" s="7">
        <f>1-C43</f>
        <v/>
      </c>
      <c r="C43" s="7">
        <f>10%+10%*(A43-1)/59</f>
        <v/>
      </c>
      <c r="D43" s="7">
        <f>1-E43</f>
        <v/>
      </c>
      <c r="E43" s="7">
        <f>2%+3%*(A43-1)/59</f>
        <v/>
      </c>
      <c r="F43" s="4" t="n">
        <v>1</v>
      </c>
    </row>
    <row r="44">
      <c r="A44" s="2" t="n">
        <v>43</v>
      </c>
      <c r="B44" s="7">
        <f>1-C44</f>
        <v/>
      </c>
      <c r="C44" s="7">
        <f>10%+10%*(A44-1)/59</f>
        <v/>
      </c>
      <c r="D44" s="7">
        <f>1-E44</f>
        <v/>
      </c>
      <c r="E44" s="7">
        <f>2%+3%*(A44-1)/59</f>
        <v/>
      </c>
      <c r="F44" s="4" t="n">
        <v>1</v>
      </c>
    </row>
    <row r="45">
      <c r="A45" s="2" t="n">
        <v>44</v>
      </c>
      <c r="B45" s="7">
        <f>1-C45</f>
        <v/>
      </c>
      <c r="C45" s="7">
        <f>10%+10%*(A45-1)/59</f>
        <v/>
      </c>
      <c r="D45" s="7">
        <f>1-E45</f>
        <v/>
      </c>
      <c r="E45" s="7">
        <f>2%+3%*(A45-1)/59</f>
        <v/>
      </c>
      <c r="F45" s="4" t="n">
        <v>1</v>
      </c>
    </row>
    <row r="46">
      <c r="A46" s="2" t="n">
        <v>45</v>
      </c>
      <c r="B46" s="7">
        <f>1-C46</f>
        <v/>
      </c>
      <c r="C46" s="7">
        <f>10%+10%*(A46-1)/59</f>
        <v/>
      </c>
      <c r="D46" s="7">
        <f>1-E46</f>
        <v/>
      </c>
      <c r="E46" s="7">
        <f>2%+3%*(A46-1)/59</f>
        <v/>
      </c>
      <c r="F46" s="4" t="n">
        <v>1</v>
      </c>
    </row>
    <row r="47">
      <c r="A47" s="2" t="n">
        <v>46</v>
      </c>
      <c r="B47" s="7">
        <f>1-C47</f>
        <v/>
      </c>
      <c r="C47" s="7">
        <f>10%+10%*(A47-1)/59</f>
        <v/>
      </c>
      <c r="D47" s="7">
        <f>1-E47</f>
        <v/>
      </c>
      <c r="E47" s="7">
        <f>2%+3%*(A47-1)/59</f>
        <v/>
      </c>
      <c r="F47" s="4" t="n">
        <v>1</v>
      </c>
    </row>
    <row r="48">
      <c r="A48" s="2" t="n">
        <v>47</v>
      </c>
      <c r="B48" s="7">
        <f>1-C48</f>
        <v/>
      </c>
      <c r="C48" s="7">
        <f>10%+10%*(A48-1)/59</f>
        <v/>
      </c>
      <c r="D48" s="7">
        <f>1-E48</f>
        <v/>
      </c>
      <c r="E48" s="7">
        <f>2%+3%*(A48-1)/59</f>
        <v/>
      </c>
      <c r="F48" s="4" t="n">
        <v>1</v>
      </c>
    </row>
    <row r="49">
      <c r="A49" s="2" t="n">
        <v>48</v>
      </c>
      <c r="B49" s="7">
        <f>1-C49</f>
        <v/>
      </c>
      <c r="C49" s="7">
        <f>10%+10%*(A49-1)/59</f>
        <v/>
      </c>
      <c r="D49" s="7">
        <f>1-E49</f>
        <v/>
      </c>
      <c r="E49" s="7">
        <f>2%+3%*(A49-1)/59</f>
        <v/>
      </c>
      <c r="F49" s="4" t="n">
        <v>1</v>
      </c>
    </row>
    <row r="50">
      <c r="A50" s="2" t="n">
        <v>49</v>
      </c>
      <c r="B50" s="7">
        <f>1-C50</f>
        <v/>
      </c>
      <c r="C50" s="7">
        <f>10%+10%*(A50-1)/59</f>
        <v/>
      </c>
      <c r="D50" s="7">
        <f>1-E50</f>
        <v/>
      </c>
      <c r="E50" s="7">
        <f>2%+3%*(A50-1)/59</f>
        <v/>
      </c>
      <c r="F50" s="4" t="n">
        <v>1</v>
      </c>
    </row>
    <row r="51">
      <c r="A51" s="2" t="n">
        <v>50</v>
      </c>
      <c r="B51" s="7">
        <f>1-C51</f>
        <v/>
      </c>
      <c r="C51" s="7">
        <f>10%+10%*(A51-1)/59</f>
        <v/>
      </c>
      <c r="D51" s="7">
        <f>1-E51</f>
        <v/>
      </c>
      <c r="E51" s="7">
        <f>2%+3%*(A51-1)/59</f>
        <v/>
      </c>
      <c r="F51" s="4" t="n">
        <v>1</v>
      </c>
    </row>
    <row r="52">
      <c r="A52" s="2" t="n">
        <v>51</v>
      </c>
      <c r="B52" s="7">
        <f>1-C52</f>
        <v/>
      </c>
      <c r="C52" s="7">
        <f>10%+10%*(A52-1)/59</f>
        <v/>
      </c>
      <c r="D52" s="7">
        <f>1-E52</f>
        <v/>
      </c>
      <c r="E52" s="7">
        <f>2%+3%*(A52-1)/59</f>
        <v/>
      </c>
      <c r="F52" s="4" t="n">
        <v>1</v>
      </c>
    </row>
    <row r="53">
      <c r="A53" s="2" t="n">
        <v>52</v>
      </c>
      <c r="B53" s="7">
        <f>1-C53</f>
        <v/>
      </c>
      <c r="C53" s="7">
        <f>10%+10%*(A53-1)/59</f>
        <v/>
      </c>
      <c r="D53" s="7">
        <f>1-E53</f>
        <v/>
      </c>
      <c r="E53" s="7">
        <f>2%+3%*(A53-1)/59</f>
        <v/>
      </c>
      <c r="F53" s="4" t="n">
        <v>1</v>
      </c>
    </row>
    <row r="54">
      <c r="A54" s="2" t="n">
        <v>53</v>
      </c>
      <c r="B54" s="7">
        <f>1-C54</f>
        <v/>
      </c>
      <c r="C54" s="7">
        <f>10%+10%*(A54-1)/59</f>
        <v/>
      </c>
      <c r="D54" s="7">
        <f>1-E54</f>
        <v/>
      </c>
      <c r="E54" s="7">
        <f>2%+3%*(A54-1)/59</f>
        <v/>
      </c>
      <c r="F54" s="4" t="n">
        <v>1</v>
      </c>
    </row>
    <row r="55">
      <c r="A55" s="2" t="n">
        <v>54</v>
      </c>
      <c r="B55" s="7">
        <f>1-C55</f>
        <v/>
      </c>
      <c r="C55" s="7">
        <f>10%+10%*(A55-1)/59</f>
        <v/>
      </c>
      <c r="D55" s="7">
        <f>1-E55</f>
        <v/>
      </c>
      <c r="E55" s="7">
        <f>2%+3%*(A55-1)/59</f>
        <v/>
      </c>
      <c r="F55" s="4" t="n">
        <v>1</v>
      </c>
    </row>
    <row r="56">
      <c r="A56" s="2" t="n">
        <v>55</v>
      </c>
      <c r="B56" s="7">
        <f>1-C56</f>
        <v/>
      </c>
      <c r="C56" s="7">
        <f>10%+10%*(A56-1)/59</f>
        <v/>
      </c>
      <c r="D56" s="7">
        <f>1-E56</f>
        <v/>
      </c>
      <c r="E56" s="7">
        <f>2%+3%*(A56-1)/59</f>
        <v/>
      </c>
      <c r="F56" s="4" t="n">
        <v>1</v>
      </c>
    </row>
    <row r="57">
      <c r="A57" s="2" t="n">
        <v>56</v>
      </c>
      <c r="B57" s="7">
        <f>1-C57</f>
        <v/>
      </c>
      <c r="C57" s="7">
        <f>10%+10%*(A57-1)/59</f>
        <v/>
      </c>
      <c r="D57" s="7">
        <f>1-E57</f>
        <v/>
      </c>
      <c r="E57" s="7">
        <f>2%+3%*(A57-1)/59</f>
        <v/>
      </c>
      <c r="F57" s="4" t="n">
        <v>1</v>
      </c>
    </row>
    <row r="58">
      <c r="A58" s="2" t="n">
        <v>57</v>
      </c>
      <c r="B58" s="7">
        <f>1-C58</f>
        <v/>
      </c>
      <c r="C58" s="7">
        <f>10%+10%*(A58-1)/59</f>
        <v/>
      </c>
      <c r="D58" s="7">
        <f>1-E58</f>
        <v/>
      </c>
      <c r="E58" s="7">
        <f>2%+3%*(A58-1)/59</f>
        <v/>
      </c>
      <c r="F58" s="4" t="n">
        <v>1</v>
      </c>
    </row>
    <row r="59">
      <c r="A59" s="2" t="n">
        <v>58</v>
      </c>
      <c r="B59" s="7">
        <f>1-C59</f>
        <v/>
      </c>
      <c r="C59" s="7">
        <f>10%+10%*(A59-1)/59</f>
        <v/>
      </c>
      <c r="D59" s="7">
        <f>1-E59</f>
        <v/>
      </c>
      <c r="E59" s="7">
        <f>2%+3%*(A59-1)/59</f>
        <v/>
      </c>
      <c r="F59" s="4" t="n">
        <v>1</v>
      </c>
    </row>
    <row r="60">
      <c r="A60" s="2" t="n">
        <v>59</v>
      </c>
      <c r="B60" s="7">
        <f>1-C60</f>
        <v/>
      </c>
      <c r="C60" s="7">
        <f>10%+10%*(A60-1)/59</f>
        <v/>
      </c>
      <c r="D60" s="7">
        <f>1-E60</f>
        <v/>
      </c>
      <c r="E60" s="7">
        <f>2%+3%*(A60-1)/59</f>
        <v/>
      </c>
      <c r="F60" s="4" t="n">
        <v>1</v>
      </c>
    </row>
    <row r="61">
      <c r="A61" s="2" t="n">
        <v>60</v>
      </c>
      <c r="B61" s="7">
        <f>1-C61</f>
        <v/>
      </c>
      <c r="C61" s="7">
        <f>10%+10%*(A61-1)/59</f>
        <v/>
      </c>
      <c r="D61" s="7">
        <f>1-E61</f>
        <v/>
      </c>
      <c r="E61" s="7">
        <f>2%+3%*(A61-1)/59</f>
        <v/>
      </c>
      <c r="F61" s="4" t="n">
        <v>1</v>
      </c>
    </row>
  </sheetData>
  <autoFilter ref="A1:F61"/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装备等级</t>
        </is>
      </c>
      <c r="B1" s="1" t="inlineStr">
        <is>
          <t>基础金币</t>
        </is>
      </c>
      <c r="C1" s="1" t="inlineStr">
        <is>
          <t>绿金币</t>
        </is>
      </c>
      <c r="D1" s="1" t="inlineStr">
        <is>
          <t>蓝金币</t>
        </is>
      </c>
      <c r="E1" s="1" t="inlineStr">
        <is>
          <t>紫金币</t>
        </is>
      </c>
      <c r="F1" s="1" t="inlineStr">
        <is>
          <t>金金币</t>
        </is>
      </c>
      <c r="G1" s="1" t="inlineStr">
        <is>
          <t>红金币</t>
        </is>
      </c>
      <c r="H1" s="1" t="inlineStr">
        <is>
          <t>绿经验</t>
        </is>
      </c>
      <c r="I1" s="1" t="inlineStr">
        <is>
          <t>蓝经验</t>
        </is>
      </c>
      <c r="J1" s="1" t="inlineStr">
        <is>
          <t>紫经验</t>
        </is>
      </c>
      <c r="K1" s="1" t="inlineStr">
        <is>
          <t>金经验</t>
        </is>
      </c>
      <c r="L1" s="1" t="inlineStr">
        <is>
          <t>红经验</t>
        </is>
      </c>
      <c r="M1" s="1" t="inlineStr">
        <is>
          <t>红装额外产出</t>
        </is>
      </c>
    </row>
    <row r="2">
      <c r="A2" s="2" t="n">
        <v>5</v>
      </c>
      <c r="B2" s="2" t="n">
        <v>1200</v>
      </c>
      <c r="C2" s="3">
        <f>$B2*INDEX('02_品质等级'!$F$2:$F$6,MATCH(LEFT(C$1,1),'02_品质等级'!$A$2:$A$6,0))</f>
        <v/>
      </c>
      <c r="D2" s="3">
        <f>$B2*INDEX('02_品质等级'!$F$2:$F$6,MATCH(LEFT(D$1,1),'02_品质等级'!$A$2:$A$6,0))</f>
        <v/>
      </c>
      <c r="E2" s="3">
        <f>$B2*INDEX('02_品质等级'!$F$2:$F$6,MATCH(LEFT(E$1,1),'02_品质等级'!$A$2:$A$6,0))</f>
        <v/>
      </c>
      <c r="F2" s="3">
        <f>$B2*INDEX('02_品质等级'!$F$2:$F$6,MATCH(LEFT(F$1,1),'02_品质等级'!$A$2:$A$6,0))</f>
        <v/>
      </c>
      <c r="G2" s="3">
        <f>$B2*INDEX('02_品质等级'!$F$2:$F$6,MATCH(LEFT(G$1,1),'02_品质等级'!$A$2:$A$6,0))</f>
        <v/>
      </c>
      <c r="H2" s="2" t="n">
        <v>1</v>
      </c>
      <c r="I2" s="2" t="n">
        <v>2</v>
      </c>
      <c r="J2" s="2" t="n">
        <v>5</v>
      </c>
      <c r="K2" s="2" t="n">
        <v>12</v>
      </c>
      <c r="L2" s="2" t="n">
        <v>30</v>
      </c>
      <c r="M2" s="2" t="inlineStr">
        <is>
          <t>高阶零件(23)x1</t>
        </is>
      </c>
    </row>
    <row r="3">
      <c r="A3" s="2" t="n">
        <v>10</v>
      </c>
      <c r="B3" s="2" t="n">
        <v>1700</v>
      </c>
      <c r="C3" s="3">
        <f>$B3*INDEX('02_品质等级'!$F$2:$F$6,MATCH(LEFT(C$1,1),'02_品质等级'!$A$2:$A$6,0))</f>
        <v/>
      </c>
      <c r="D3" s="3">
        <f>$B3*INDEX('02_品质等级'!$F$2:$F$6,MATCH(LEFT(D$1,1),'02_品质等级'!$A$2:$A$6,0))</f>
        <v/>
      </c>
      <c r="E3" s="3">
        <f>$B3*INDEX('02_品质等级'!$F$2:$F$6,MATCH(LEFT(E$1,1),'02_品质等级'!$A$2:$A$6,0))</f>
        <v/>
      </c>
      <c r="F3" s="3">
        <f>$B3*INDEX('02_品质等级'!$F$2:$F$6,MATCH(LEFT(F$1,1),'02_品质等级'!$A$2:$A$6,0))</f>
        <v/>
      </c>
      <c r="G3" s="3">
        <f>$B3*INDEX('02_品质等级'!$F$2:$F$6,MATCH(LEFT(G$1,1),'02_品质等级'!$A$2:$A$6,0))</f>
        <v/>
      </c>
      <c r="H3" s="2" t="n">
        <v>1</v>
      </c>
      <c r="I3" s="2" t="n">
        <v>2</v>
      </c>
      <c r="J3" s="2" t="n">
        <v>5</v>
      </c>
      <c r="K3" s="2" t="n">
        <v>12</v>
      </c>
      <c r="L3" s="2" t="n">
        <v>30</v>
      </c>
      <c r="M3" s="2" t="inlineStr">
        <is>
          <t>高阶零件(23)x1</t>
        </is>
      </c>
    </row>
    <row r="4">
      <c r="A4" s="2" t="n">
        <v>15</v>
      </c>
      <c r="B4" s="2" t="n">
        <v>2300</v>
      </c>
      <c r="C4" s="3">
        <f>$B4*INDEX('02_品质等级'!$F$2:$F$6,MATCH(LEFT(C$1,1),'02_品质等级'!$A$2:$A$6,0))</f>
        <v/>
      </c>
      <c r="D4" s="3">
        <f>$B4*INDEX('02_品质等级'!$F$2:$F$6,MATCH(LEFT(D$1,1),'02_品质等级'!$A$2:$A$6,0))</f>
        <v/>
      </c>
      <c r="E4" s="3">
        <f>$B4*INDEX('02_品质等级'!$F$2:$F$6,MATCH(LEFT(E$1,1),'02_品质等级'!$A$2:$A$6,0))</f>
        <v/>
      </c>
      <c r="F4" s="3">
        <f>$B4*INDEX('02_品质等级'!$F$2:$F$6,MATCH(LEFT(F$1,1),'02_品质等级'!$A$2:$A$6,0))</f>
        <v/>
      </c>
      <c r="G4" s="3">
        <f>$B4*INDEX('02_品质等级'!$F$2:$F$6,MATCH(LEFT(G$1,1),'02_品质等级'!$A$2:$A$6,0))</f>
        <v/>
      </c>
      <c r="H4" s="2" t="n">
        <v>2</v>
      </c>
      <c r="I4" s="2" t="n">
        <v>4</v>
      </c>
      <c r="J4" s="2" t="n">
        <v>10</v>
      </c>
      <c r="K4" s="2" t="n">
        <v>24</v>
      </c>
      <c r="L4" s="2" t="n">
        <v>60</v>
      </c>
      <c r="M4" s="2" t="inlineStr">
        <is>
          <t>高阶零件(23)x1</t>
        </is>
      </c>
    </row>
    <row r="5">
      <c r="A5" s="2" t="n">
        <v>20</v>
      </c>
      <c r="B5" s="2" t="n">
        <v>2900</v>
      </c>
      <c r="C5" s="3">
        <f>$B5*INDEX('02_品质等级'!$F$2:$F$6,MATCH(LEFT(C$1,1),'02_品质等级'!$A$2:$A$6,0))</f>
        <v/>
      </c>
      <c r="D5" s="3">
        <f>$B5*INDEX('02_品质等级'!$F$2:$F$6,MATCH(LEFT(D$1,1),'02_品质等级'!$A$2:$A$6,0))</f>
        <v/>
      </c>
      <c r="E5" s="3">
        <f>$B5*INDEX('02_品质等级'!$F$2:$F$6,MATCH(LEFT(E$1,1),'02_品质等级'!$A$2:$A$6,0))</f>
        <v/>
      </c>
      <c r="F5" s="3">
        <f>$B5*INDEX('02_品质等级'!$F$2:$F$6,MATCH(LEFT(F$1,1),'02_品质等级'!$A$2:$A$6,0))</f>
        <v/>
      </c>
      <c r="G5" s="3">
        <f>$B5*INDEX('02_品质等级'!$F$2:$F$6,MATCH(LEFT(G$1,1),'02_品质等级'!$A$2:$A$6,0))</f>
        <v/>
      </c>
      <c r="H5" s="2" t="n">
        <v>2</v>
      </c>
      <c r="I5" s="2" t="n">
        <v>4</v>
      </c>
      <c r="J5" s="2" t="n">
        <v>10</v>
      </c>
      <c r="K5" s="2" t="n">
        <v>24</v>
      </c>
      <c r="L5" s="2" t="n">
        <v>60</v>
      </c>
      <c r="M5" s="2" t="inlineStr">
        <is>
          <t>高阶零件(23)x1</t>
        </is>
      </c>
    </row>
    <row r="6">
      <c r="A6" s="2" t="n">
        <v>25</v>
      </c>
      <c r="B6" s="2" t="n">
        <v>3500</v>
      </c>
      <c r="C6" s="3">
        <f>$B6*INDEX('02_品质等级'!$F$2:$F$6,MATCH(LEFT(C$1,1),'02_品质等级'!$A$2:$A$6,0))</f>
        <v/>
      </c>
      <c r="D6" s="3">
        <f>$B6*INDEX('02_品质等级'!$F$2:$F$6,MATCH(LEFT(D$1,1),'02_品质等级'!$A$2:$A$6,0))</f>
        <v/>
      </c>
      <c r="E6" s="3">
        <f>$B6*INDEX('02_品质等级'!$F$2:$F$6,MATCH(LEFT(E$1,1),'02_品质等级'!$A$2:$A$6,0))</f>
        <v/>
      </c>
      <c r="F6" s="3">
        <f>$B6*INDEX('02_品质等级'!$F$2:$F$6,MATCH(LEFT(F$1,1),'02_品质等级'!$A$2:$A$6,0))</f>
        <v/>
      </c>
      <c r="G6" s="3">
        <f>$B6*INDEX('02_品质等级'!$F$2:$F$6,MATCH(LEFT(G$1,1),'02_品质等级'!$A$2:$A$6,0))</f>
        <v/>
      </c>
      <c r="H6" s="2" t="n">
        <v>3</v>
      </c>
      <c r="I6" s="2" t="n">
        <v>6</v>
      </c>
      <c r="J6" s="2" t="n">
        <v>15</v>
      </c>
      <c r="K6" s="2" t="n">
        <v>36</v>
      </c>
      <c r="L6" s="2" t="n">
        <v>90</v>
      </c>
      <c r="M6" s="2" t="inlineStr">
        <is>
          <t>高阶零件(23)x1</t>
        </is>
      </c>
    </row>
    <row r="7">
      <c r="A7" s="2" t="n">
        <v>30</v>
      </c>
      <c r="B7" s="2" t="n">
        <v>4100</v>
      </c>
      <c r="C7" s="3">
        <f>$B7*INDEX('02_品质等级'!$F$2:$F$6,MATCH(LEFT(C$1,1),'02_品质等级'!$A$2:$A$6,0))</f>
        <v/>
      </c>
      <c r="D7" s="3">
        <f>$B7*INDEX('02_品质等级'!$F$2:$F$6,MATCH(LEFT(D$1,1),'02_品质等级'!$A$2:$A$6,0))</f>
        <v/>
      </c>
      <c r="E7" s="3">
        <f>$B7*INDEX('02_品质等级'!$F$2:$F$6,MATCH(LEFT(E$1,1),'02_品质等级'!$A$2:$A$6,0))</f>
        <v/>
      </c>
      <c r="F7" s="3">
        <f>$B7*INDEX('02_品质等级'!$F$2:$F$6,MATCH(LEFT(F$1,1),'02_品质等级'!$A$2:$A$6,0))</f>
        <v/>
      </c>
      <c r="G7" s="3">
        <f>$B7*INDEX('02_品质等级'!$F$2:$F$6,MATCH(LEFT(G$1,1),'02_品质等级'!$A$2:$A$6,0))</f>
        <v/>
      </c>
      <c r="H7" s="2" t="n">
        <v>3</v>
      </c>
      <c r="I7" s="2" t="n">
        <v>6</v>
      </c>
      <c r="J7" s="2" t="n">
        <v>15</v>
      </c>
      <c r="K7" s="2" t="n">
        <v>36</v>
      </c>
      <c r="L7" s="2" t="n">
        <v>90</v>
      </c>
      <c r="M7" s="2" t="inlineStr">
        <is>
          <t>高阶零件(23)x1</t>
        </is>
      </c>
    </row>
    <row r="8">
      <c r="A8" s="2" t="n">
        <v>35</v>
      </c>
      <c r="B8" s="2" t="n">
        <v>4700</v>
      </c>
      <c r="C8" s="3">
        <f>$B8*INDEX('02_品质等级'!$F$2:$F$6,MATCH(LEFT(C$1,1),'02_品质等级'!$A$2:$A$6,0))</f>
        <v/>
      </c>
      <c r="D8" s="3">
        <f>$B8*INDEX('02_品质等级'!$F$2:$F$6,MATCH(LEFT(D$1,1),'02_品质等级'!$A$2:$A$6,0))</f>
        <v/>
      </c>
      <c r="E8" s="3">
        <f>$B8*INDEX('02_品质等级'!$F$2:$F$6,MATCH(LEFT(E$1,1),'02_品质等级'!$A$2:$A$6,0))</f>
        <v/>
      </c>
      <c r="F8" s="3">
        <f>$B8*INDEX('02_品质等级'!$F$2:$F$6,MATCH(LEFT(F$1,1),'02_品质等级'!$A$2:$A$6,0))</f>
        <v/>
      </c>
      <c r="G8" s="3">
        <f>$B8*INDEX('02_品质等级'!$F$2:$F$6,MATCH(LEFT(G$1,1),'02_品质等级'!$A$2:$A$6,0))</f>
        <v/>
      </c>
      <c r="H8" s="2" t="n">
        <v>4</v>
      </c>
      <c r="I8" s="2" t="n">
        <v>8</v>
      </c>
      <c r="J8" s="2" t="n">
        <v>20</v>
      </c>
      <c r="K8" s="2" t="n">
        <v>48</v>
      </c>
      <c r="L8" s="2" t="n">
        <v>120</v>
      </c>
      <c r="M8" s="2" t="inlineStr">
        <is>
          <t>高阶零件(23)x1</t>
        </is>
      </c>
    </row>
    <row r="9">
      <c r="A9" s="2" t="n">
        <v>40</v>
      </c>
      <c r="B9" s="2" t="n">
        <v>5300</v>
      </c>
      <c r="C9" s="3">
        <f>$B9*INDEX('02_品质等级'!$F$2:$F$6,MATCH(LEFT(C$1,1),'02_品质等级'!$A$2:$A$6,0))</f>
        <v/>
      </c>
      <c r="D9" s="3">
        <f>$B9*INDEX('02_品质等级'!$F$2:$F$6,MATCH(LEFT(D$1,1),'02_品质等级'!$A$2:$A$6,0))</f>
        <v/>
      </c>
      <c r="E9" s="3">
        <f>$B9*INDEX('02_品质等级'!$F$2:$F$6,MATCH(LEFT(E$1,1),'02_品质等级'!$A$2:$A$6,0))</f>
        <v/>
      </c>
      <c r="F9" s="3">
        <f>$B9*INDEX('02_品质等级'!$F$2:$F$6,MATCH(LEFT(F$1,1),'02_品质等级'!$A$2:$A$6,0))</f>
        <v/>
      </c>
      <c r="G9" s="3">
        <f>$B9*INDEX('02_品质等级'!$F$2:$F$6,MATCH(LEFT(G$1,1),'02_品质等级'!$A$2:$A$6,0))</f>
        <v/>
      </c>
      <c r="H9" s="2" t="n">
        <v>4</v>
      </c>
      <c r="I9" s="2" t="n">
        <v>8</v>
      </c>
      <c r="J9" s="2" t="n">
        <v>20</v>
      </c>
      <c r="K9" s="2" t="n">
        <v>48</v>
      </c>
      <c r="L9" s="2" t="n">
        <v>120</v>
      </c>
      <c r="M9" s="2" t="inlineStr">
        <is>
          <t>高阶零件(23)x1</t>
        </is>
      </c>
    </row>
    <row r="10">
      <c r="A10" s="2" t="n">
        <v>45</v>
      </c>
      <c r="B10" s="2" t="n">
        <v>6000</v>
      </c>
      <c r="C10" s="3">
        <f>$B10*INDEX('02_品质等级'!$F$2:$F$6,MATCH(LEFT(C$1,1),'02_品质等级'!$A$2:$A$6,0))</f>
        <v/>
      </c>
      <c r="D10" s="3">
        <f>$B10*INDEX('02_品质等级'!$F$2:$F$6,MATCH(LEFT(D$1,1),'02_品质等级'!$A$2:$A$6,0))</f>
        <v/>
      </c>
      <c r="E10" s="3">
        <f>$B10*INDEX('02_品质等级'!$F$2:$F$6,MATCH(LEFT(E$1,1),'02_品质等级'!$A$2:$A$6,0))</f>
        <v/>
      </c>
      <c r="F10" s="3">
        <f>$B10*INDEX('02_品质等级'!$F$2:$F$6,MATCH(LEFT(F$1,1),'02_品质等级'!$A$2:$A$6,0))</f>
        <v/>
      </c>
      <c r="G10" s="3">
        <f>$B10*INDEX('02_品质等级'!$F$2:$F$6,MATCH(LEFT(G$1,1),'02_品质等级'!$A$2:$A$6,0))</f>
        <v/>
      </c>
      <c r="H10" s="2" t="n">
        <v>5</v>
      </c>
      <c r="I10" s="2" t="n">
        <v>10</v>
      </c>
      <c r="J10" s="2" t="n">
        <v>25</v>
      </c>
      <c r="K10" s="2" t="n">
        <v>60</v>
      </c>
      <c r="L10" s="2" t="n">
        <v>150</v>
      </c>
      <c r="M10" s="2" t="inlineStr">
        <is>
          <t>高阶零件(23)x1</t>
        </is>
      </c>
    </row>
    <row r="11">
      <c r="A11" s="2" t="n">
        <v>50</v>
      </c>
      <c r="B11" s="2" t="n">
        <v>7000</v>
      </c>
      <c r="C11" s="3">
        <f>$B11*INDEX('02_品质等级'!$F$2:$F$6,MATCH(LEFT(C$1,1),'02_品质等级'!$A$2:$A$6,0))</f>
        <v/>
      </c>
      <c r="D11" s="3">
        <f>$B11*INDEX('02_品质等级'!$F$2:$F$6,MATCH(LEFT(D$1,1),'02_品质等级'!$A$2:$A$6,0))</f>
        <v/>
      </c>
      <c r="E11" s="3">
        <f>$B11*INDEX('02_品质等级'!$F$2:$F$6,MATCH(LEFT(E$1,1),'02_品质等级'!$A$2:$A$6,0))</f>
        <v/>
      </c>
      <c r="F11" s="3">
        <f>$B11*INDEX('02_品质等级'!$F$2:$F$6,MATCH(LEFT(F$1,1),'02_品质等级'!$A$2:$A$6,0))</f>
        <v/>
      </c>
      <c r="G11" s="3">
        <f>$B11*INDEX('02_品质等级'!$F$2:$F$6,MATCH(LEFT(G$1,1),'02_品质等级'!$A$2:$A$6,0))</f>
        <v/>
      </c>
      <c r="H11" s="2" t="n">
        <v>5</v>
      </c>
      <c r="I11" s="2" t="n">
        <v>10</v>
      </c>
      <c r="J11" s="2" t="n">
        <v>25</v>
      </c>
      <c r="K11" s="2" t="n">
        <v>60</v>
      </c>
      <c r="L11" s="2" t="n">
        <v>150</v>
      </c>
      <c r="M11" s="2" t="inlineStr">
        <is>
          <t>高阶零件(23)x1</t>
        </is>
      </c>
    </row>
    <row r="12">
      <c r="A12" s="2" t="n">
        <v>55</v>
      </c>
      <c r="B12" s="2" t="n">
        <v>8500</v>
      </c>
      <c r="C12" s="3">
        <f>$B12*INDEX('02_品质等级'!$F$2:$F$6,MATCH(LEFT(C$1,1),'02_品质等级'!$A$2:$A$6,0))</f>
        <v/>
      </c>
      <c r="D12" s="3">
        <f>$B12*INDEX('02_品质等级'!$F$2:$F$6,MATCH(LEFT(D$1,1),'02_品质等级'!$A$2:$A$6,0))</f>
        <v/>
      </c>
      <c r="E12" s="3">
        <f>$B12*INDEX('02_品质等级'!$F$2:$F$6,MATCH(LEFT(E$1,1),'02_品质等级'!$A$2:$A$6,0))</f>
        <v/>
      </c>
      <c r="F12" s="3">
        <f>$B12*INDEX('02_品质等级'!$F$2:$F$6,MATCH(LEFT(F$1,1),'02_品质等级'!$A$2:$A$6,0))</f>
        <v/>
      </c>
      <c r="G12" s="3">
        <f>$B12*INDEX('02_品质等级'!$F$2:$F$6,MATCH(LEFT(G$1,1),'02_品质等级'!$A$2:$A$6,0))</f>
        <v/>
      </c>
      <c r="H12" s="2" t="n">
        <v>6</v>
      </c>
      <c r="I12" s="2" t="n">
        <v>12</v>
      </c>
      <c r="J12" s="2" t="n">
        <v>30</v>
      </c>
      <c r="K12" s="2" t="n">
        <v>72</v>
      </c>
      <c r="L12" s="2" t="n">
        <v>180</v>
      </c>
      <c r="M12" s="2" t="inlineStr">
        <is>
          <t>高阶零件(23)x1</t>
        </is>
      </c>
    </row>
    <row r="13">
      <c r="A13" s="2" t="n">
        <v>60</v>
      </c>
      <c r="B13" s="2" t="n">
        <v>10000</v>
      </c>
      <c r="C13" s="3">
        <f>$B13*INDEX('02_品质等级'!$F$2:$F$6,MATCH(LEFT(C$1,1),'02_品质等级'!$A$2:$A$6,0))</f>
        <v/>
      </c>
      <c r="D13" s="3">
        <f>$B13*INDEX('02_品质等级'!$F$2:$F$6,MATCH(LEFT(D$1,1),'02_品质等级'!$A$2:$A$6,0))</f>
        <v/>
      </c>
      <c r="E13" s="3">
        <f>$B13*INDEX('02_品质等级'!$F$2:$F$6,MATCH(LEFT(E$1,1),'02_品质等级'!$A$2:$A$6,0))</f>
        <v/>
      </c>
      <c r="F13" s="3">
        <f>$B13*INDEX('02_品质等级'!$F$2:$F$6,MATCH(LEFT(F$1,1),'02_品质等级'!$A$2:$A$6,0))</f>
        <v/>
      </c>
      <c r="G13" s="3">
        <f>$B13*INDEX('02_品质等级'!$F$2:$F$6,MATCH(LEFT(G$1,1),'02_品质等级'!$A$2:$A$6,0))</f>
        <v/>
      </c>
      <c r="H13" s="2" t="n">
        <v>6</v>
      </c>
      <c r="I13" s="2" t="n">
        <v>12</v>
      </c>
      <c r="J13" s="2" t="n">
        <v>30</v>
      </c>
      <c r="K13" s="2" t="n">
        <v>72</v>
      </c>
      <c r="L13" s="2" t="n">
        <v>180</v>
      </c>
      <c r="M13" s="2" t="inlineStr">
        <is>
          <t>高阶零件(23)x1</t>
        </is>
      </c>
    </row>
  </sheetData>
  <autoFilter ref="A1:M13"/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</cols>
  <sheetData>
    <row r="1">
      <c r="A1" s="1" t="inlineStr">
        <is>
          <t>事项</t>
        </is>
      </c>
      <c r="B1" s="1" t="inlineStr">
        <is>
          <t>状态</t>
        </is>
      </c>
      <c r="C1" s="1" t="inlineStr">
        <is>
          <t>说明</t>
        </is>
      </c>
    </row>
    <row r="2">
      <c r="A2" s="2" t="inlineStr">
        <is>
          <t>红装洗练</t>
        </is>
      </c>
      <c r="B2" s="2" t="inlineStr">
        <is>
          <t>本版本先不做</t>
        </is>
      </c>
      <c r="C2" s="2" t="inlineStr">
        <is>
          <t>不登记任何洗练材料或金币消耗</t>
        </is>
      </c>
    </row>
    <row r="3">
      <c r="A3" s="2" t="inlineStr">
        <is>
          <t>升级系统</t>
        </is>
      </c>
      <c r="B3" s="2" t="inlineStr">
        <is>
          <t>已废弃</t>
        </is>
      </c>
      <c r="C3" s="2" t="inlineStr">
        <is>
          <t>旧 SpecialEquipmentLvUp 不计入当前版本</t>
        </is>
      </c>
    </row>
    <row r="4">
      <c r="A4" s="2" t="inlineStr">
        <is>
          <t>打孔/鉴定</t>
        </is>
      </c>
      <c r="B4" s="2" t="inlineStr">
        <is>
          <t>已废弃</t>
        </is>
      </c>
      <c r="C4" s="2" t="inlineStr">
        <is>
          <t>旧精密打孔器/鉴定卷轴不计入当前版本</t>
        </is>
      </c>
    </row>
    <row r="5">
      <c r="A5" s="2" t="inlineStr">
        <is>
          <t>装备高级材料</t>
        </is>
      </c>
      <c r="B5" s="2" t="inlineStr">
        <is>
          <t>高阶零件(23)</t>
        </is>
      </c>
      <c r="C5" s="2" t="inlineStr">
        <is>
          <t>仅红装分解产出；当前作为后续材料沉淀</t>
        </is>
      </c>
    </row>
    <row r="6">
      <c r="A6" s="2" t="inlineStr">
        <is>
          <t>主材/副材 ItemId</t>
        </is>
      </c>
      <c r="B6" s="2" t="inlineStr">
        <is>
          <t>待规划</t>
        </is>
      </c>
      <c r="C6" s="2" t="inlineStr">
        <is>
          <t>主材为大类 x 品质 x 等级；副材为4种</t>
        </is>
      </c>
    </row>
    <row r="7">
      <c r="A7" s="2" t="inlineStr">
        <is>
          <t>映射之匙(25)</t>
        </is>
      </c>
      <c r="B7" s="2" t="inlineStr">
        <is>
          <t>副本入场消耗</t>
        </is>
      </c>
      <c r="C7" s="2" t="inlineStr">
        <is>
          <t>钥匙来源/购买/上限不在本表展开</t>
        </is>
      </c>
    </row>
    <row r="8">
      <c r="A8" s="2" t="inlineStr">
        <is>
          <t>首通旧胚料</t>
        </is>
      </c>
      <c r="B8" s="2" t="inlineStr">
        <is>
          <t>待重配</t>
        </is>
      </c>
      <c r="C8" s="2" t="inlineStr">
        <is>
          <t>05副本沉淀中旧 I-VIII 胚料首通表仅留档，不纳入新版主材/副材最终口径</t>
        </is>
      </c>
    </row>
    <row r="9">
      <c r="A9" s="2" t="inlineStr">
        <is>
          <t>爬塔房车经验</t>
        </is>
      </c>
      <c r="B9" s="2" t="inlineStr">
        <is>
          <t>待确认</t>
        </is>
      </c>
      <c r="C9" s="2" t="inlineStr">
        <is>
          <t>需确认是新道具，还是房车零件改名/经验化</t>
        </is>
      </c>
    </row>
    <row r="10">
      <c r="A10" s="2" t="inlineStr">
        <is>
          <t>已确认：打造8档</t>
        </is>
      </c>
      <c r="B10" s="2" t="inlineStr">
        <is>
          <t>打造只分8个档位：10/20/30/40/45/50/55/60；15/25/35仅作为档内可打造装备等级，不单独拆主材档。</t>
        </is>
      </c>
      <c r="C10" s="2" t="inlineStr">
        <is>
          <t>2026-07-09 用户反馈修正</t>
        </is>
      </c>
    </row>
  </sheetData>
  <autoFilter ref="A1:C10"/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36" customWidth="1" min="3" max="3"/>
    <col width="36" customWidth="1" min="4" max="4"/>
    <col width="36" customWidth="1" min="5" max="5"/>
    <col width="25" customWidth="1" min="6" max="6"/>
    <col width="10" customWidth="1" min="7" max="7"/>
    <col width="19" customWidth="1" min="8" max="8"/>
  </cols>
  <sheetData>
    <row r="1">
      <c r="A1" s="8" t="inlineStr">
        <is>
          <t>映射装备总产销汇总（前 / 中 / 后期）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8" t="inlineStr">
        <is>
          <t>阶段假设（蓝字可改）</t>
        </is>
      </c>
      <c r="B3" s="6" t="n"/>
      <c r="C3" s="6" t="n"/>
      <c r="D3" s="6" t="n"/>
      <c r="E3" s="6" t="n"/>
      <c r="F3" s="6" t="n"/>
      <c r="G3" s="6" t="n"/>
      <c r="H3" s="6" t="n"/>
    </row>
    <row r="4">
      <c r="A4" s="1" t="inlineStr">
        <is>
          <t>阶段</t>
        </is>
      </c>
      <c r="B4" s="1" t="inlineStr">
        <is>
          <t>副本代表层</t>
        </is>
      </c>
      <c r="C4" s="1" t="inlineStr">
        <is>
          <t>副本次数/日</t>
        </is>
      </c>
      <c r="D4" s="1" t="inlineStr">
        <is>
          <t>爬塔金币最高层</t>
        </is>
      </c>
      <c r="E4" s="1" t="inlineStr">
        <is>
          <t>爬塔材料区间</t>
        </is>
      </c>
      <c r="F4" s="1" t="inlineStr">
        <is>
          <t>合成档</t>
        </is>
      </c>
      <c r="G4" s="1" t="inlineStr">
        <is>
          <t>打造档位等级</t>
        </is>
      </c>
      <c r="H4" s="1" t="inlineStr">
        <is>
          <t>备注</t>
        </is>
      </c>
    </row>
    <row r="5">
      <c r="A5" s="9" t="inlineStr">
        <is>
          <t>前期</t>
        </is>
      </c>
      <c r="B5" s="9" t="n">
        <v>10</v>
      </c>
      <c r="C5" s="9" t="n">
        <v>7.86</v>
      </c>
      <c r="D5" s="9" t="inlineStr">
        <is>
          <t>30-39</t>
        </is>
      </c>
      <c r="E5" s="9" t="inlineStr">
        <is>
          <t>30-34</t>
        </is>
      </c>
      <c r="F5" s="9" t="n">
        <v>2</v>
      </c>
      <c r="G5" s="9" t="n">
        <v>30</v>
      </c>
      <c r="H5" s="9" t="inlineStr">
        <is>
          <t>副本刷10层；爬塔刚进入材料产出段</t>
        </is>
      </c>
    </row>
    <row r="6">
      <c r="A6" s="9" t="inlineStr">
        <is>
          <t>中期</t>
        </is>
      </c>
      <c r="B6" s="9" t="n">
        <v>20</v>
      </c>
      <c r="C6" s="9" t="n">
        <v>7.86</v>
      </c>
      <c r="D6" s="9" t="inlineStr">
        <is>
          <t>60-69</t>
        </is>
      </c>
      <c r="E6" s="9" t="inlineStr">
        <is>
          <t>60-64</t>
        </is>
      </c>
      <c r="F6" s="9" t="n">
        <v>4</v>
      </c>
      <c r="G6" s="9" t="n">
        <v>50</v>
      </c>
      <c r="H6" s="9" t="inlineStr">
        <is>
          <t>副本刷20层；爬塔进入VI档材料段</t>
        </is>
      </c>
    </row>
    <row r="7">
      <c r="A7" s="9" t="inlineStr">
        <is>
          <t>后期</t>
        </is>
      </c>
      <c r="B7" s="9" t="n">
        <v>30</v>
      </c>
      <c r="C7" s="9" t="n">
        <v>7.86</v>
      </c>
      <c r="D7" s="9" t="inlineStr">
        <is>
          <t>90-100</t>
        </is>
      </c>
      <c r="E7" s="9" t="inlineStr">
        <is>
          <t>100</t>
        </is>
      </c>
      <c r="F7" s="9" t="n">
        <v>8</v>
      </c>
      <c r="G7" s="9" t="n">
        <v>60</v>
      </c>
      <c r="H7" s="9" t="inlineStr">
        <is>
          <t>副本刷30层；爬塔满层材料段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8" t="inlineStr">
        <is>
          <t>一、日产出汇总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1" t="inlineStr">
        <is>
          <t>指标</t>
        </is>
      </c>
      <c r="B10" s="1" t="inlineStr">
        <is>
          <t>单位/口径</t>
        </is>
      </c>
      <c r="C10" s="1" t="inlineStr">
        <is>
          <t>前期</t>
        </is>
      </c>
      <c r="D10" s="1" t="inlineStr">
        <is>
          <t>中期</t>
        </is>
      </c>
      <c r="E10" s="1" t="inlineStr">
        <is>
          <t>后期</t>
        </is>
      </c>
      <c r="F10" s="1" t="inlineStr">
        <is>
          <t>说明</t>
        </is>
      </c>
      <c r="G10" s="6" t="n"/>
      <c r="H10" s="6" t="n"/>
    </row>
    <row r="11">
      <c r="A11" s="2" t="inlineStr">
        <is>
          <t>映射之匙消耗/日</t>
        </is>
      </c>
      <c r="B11" s="2" t="inlineStr">
        <is>
          <t>次/日</t>
        </is>
      </c>
      <c r="C11" s="3">
        <f>$C$5</f>
        <v/>
      </c>
      <c r="D11" s="3">
        <f>$C$6</f>
        <v/>
      </c>
      <c r="E11" s="3">
        <f>$C$7</f>
        <v/>
      </c>
      <c r="F11" s="2" t="inlineStr">
        <is>
          <t>按副本次数折算</t>
        </is>
      </c>
      <c r="G11" s="6" t="n"/>
      <c r="H11" s="6" t="n"/>
    </row>
    <row r="12">
      <c r="A12" s="2" t="inlineStr">
        <is>
          <t>爬塔金币/日</t>
        </is>
      </c>
      <c r="B12" s="2" t="inlineStr">
        <is>
          <t>金币/日</t>
        </is>
      </c>
      <c r="C12" s="3">
        <f>INDEX('10_爬塔挂机'!$B$2:$B$11,MATCH($D$5,'10_爬塔挂机'!$A$2:$A$11,0))</f>
        <v/>
      </c>
      <c r="D12" s="3">
        <f>INDEX('10_爬塔挂机'!$B$2:$B$11,MATCH($D$6,'10_爬塔挂机'!$A$2:$A$11,0))</f>
        <v/>
      </c>
      <c r="E12" s="3">
        <f>INDEX('10_爬塔挂机'!$B$2:$B$11,MATCH($D$7,'10_爬塔挂机'!$A$2:$A$11,0))</f>
        <v/>
      </c>
      <c r="F12" s="2" t="inlineStr">
        <is>
          <t>爬塔挂机金币；非映射装备专属，但会进入金币总账</t>
        </is>
      </c>
      <c r="G12" s="6" t="n"/>
      <c r="H12" s="6" t="n"/>
    </row>
    <row r="13">
      <c r="A13" s="2" t="inlineStr">
        <is>
          <t>装备总产出/日</t>
        </is>
      </c>
      <c r="B13" s="2" t="inlineStr">
        <is>
          <t>件/日</t>
        </is>
      </c>
      <c r="C13" s="3">
        <f>INDEX('09_日产验算'!$E$2:$E$8,MATCH("刷"&amp;$B$5&amp;"层",'09_日产验算'!$B$2:$B$8,0))</f>
        <v/>
      </c>
      <c r="D13" s="3">
        <f>INDEX('09_日产验算'!$E$2:$E$8,MATCH("刷"&amp;$B$6&amp;"层",'09_日产验算'!$B$2:$B$8,0))</f>
        <v/>
      </c>
      <c r="E13" s="3">
        <f>INDEX('09_日产验算'!$E$2:$E$8,MATCH("刷"&amp;$B$7&amp;"层",'09_日产验算'!$B$2:$B$8,0))</f>
        <v/>
      </c>
      <c r="F13" s="2" t="inlineStr">
        <is>
          <t>副本宝箱开装期望</t>
        </is>
      </c>
      <c r="G13" s="6" t="n"/>
      <c r="H13" s="6" t="n"/>
    </row>
    <row r="14">
      <c r="A14" s="2" t="inlineStr">
        <is>
          <t>绿装/日</t>
        </is>
      </c>
      <c r="B14" s="2" t="inlineStr">
        <is>
          <t>件/日</t>
        </is>
      </c>
      <c r="C14" s="3">
        <f>INDEX('09_日产验算'!$F$2:$F$8,MATCH("刷"&amp;$B$5&amp;"层",'09_日产验算'!$B$2:$B$8,0))</f>
        <v/>
      </c>
      <c r="D14" s="3">
        <f>INDEX('09_日产验算'!$F$2:$F$8,MATCH("刷"&amp;$B$6&amp;"层",'09_日产验算'!$B$2:$B$8,0))</f>
        <v/>
      </c>
      <c r="E14" s="3">
        <f>INDEX('09_日产验算'!$F$2:$F$8,MATCH("刷"&amp;$B$7&amp;"层",'09_日产验算'!$B$2:$B$8,0))</f>
        <v/>
      </c>
      <c r="F14" s="2" t="inlineStr"/>
      <c r="G14" s="6" t="n"/>
      <c r="H14" s="6" t="n"/>
    </row>
    <row r="15">
      <c r="A15" s="2" t="inlineStr">
        <is>
          <t>蓝装/日</t>
        </is>
      </c>
      <c r="B15" s="2" t="inlineStr">
        <is>
          <t>件/日</t>
        </is>
      </c>
      <c r="C15" s="3">
        <f>INDEX('09_日产验算'!$G$2:$G$8,MATCH("刷"&amp;$B$5&amp;"层",'09_日产验算'!$B$2:$B$8,0))</f>
        <v/>
      </c>
      <c r="D15" s="3">
        <f>INDEX('09_日产验算'!$G$2:$G$8,MATCH("刷"&amp;$B$6&amp;"层",'09_日产验算'!$B$2:$B$8,0))</f>
        <v/>
      </c>
      <c r="E15" s="3">
        <f>INDEX('09_日产验算'!$G$2:$G$8,MATCH("刷"&amp;$B$7&amp;"层",'09_日产验算'!$B$2:$B$8,0))</f>
        <v/>
      </c>
      <c r="F15" s="2" t="inlineStr"/>
      <c r="G15" s="6" t="n"/>
      <c r="H15" s="6" t="n"/>
    </row>
    <row r="16">
      <c r="A16" s="2" t="inlineStr">
        <is>
          <t>紫装/日</t>
        </is>
      </c>
      <c r="B16" s="2" t="inlineStr">
        <is>
          <t>件/日</t>
        </is>
      </c>
      <c r="C16" s="3">
        <f>INDEX('09_日产验算'!$H$2:$H$8,MATCH("刷"&amp;$B$5&amp;"层",'09_日产验算'!$B$2:$B$8,0))</f>
        <v/>
      </c>
      <c r="D16" s="3">
        <f>INDEX('09_日产验算'!$H$2:$H$8,MATCH("刷"&amp;$B$6&amp;"层",'09_日产验算'!$B$2:$B$8,0))</f>
        <v/>
      </c>
      <c r="E16" s="3">
        <f>INDEX('09_日产验算'!$H$2:$H$8,MATCH("刷"&amp;$B$7&amp;"层",'09_日产验算'!$B$2:$B$8,0))</f>
        <v/>
      </c>
      <c r="F16" s="2" t="inlineStr"/>
      <c r="G16" s="6" t="n"/>
      <c r="H16" s="6" t="n"/>
    </row>
    <row r="17">
      <c r="A17" s="2" t="inlineStr">
        <is>
          <t>金装/日</t>
        </is>
      </c>
      <c r="B17" s="2" t="inlineStr">
        <is>
          <t>件/日</t>
        </is>
      </c>
      <c r="C17" s="3">
        <f>INDEX('09_日产验算'!$I$2:$I$8,MATCH("刷"&amp;$B$5&amp;"层",'09_日产验算'!$B$2:$B$8,0))</f>
        <v/>
      </c>
      <c r="D17" s="3">
        <f>INDEX('09_日产验算'!$I$2:$I$8,MATCH("刷"&amp;$B$6&amp;"层",'09_日产验算'!$B$2:$B$8,0))</f>
        <v/>
      </c>
      <c r="E17" s="3">
        <f>INDEX('09_日产验算'!$I$2:$I$8,MATCH("刷"&amp;$B$7&amp;"层",'09_日产验算'!$B$2:$B$8,0))</f>
        <v/>
      </c>
      <c r="F17" s="2" t="inlineStr"/>
      <c r="G17" s="6" t="n"/>
      <c r="H17" s="6" t="n"/>
    </row>
    <row r="18">
      <c r="A18" s="2" t="inlineStr">
        <is>
          <t>红装/日</t>
        </is>
      </c>
      <c r="B18" s="2" t="inlineStr">
        <is>
          <t>件/日</t>
        </is>
      </c>
      <c r="C18" s="3">
        <f>INDEX('09_日产验算'!$J$2:$J$8,MATCH("刷"&amp;$B$5&amp;"层",'09_日产验算'!$B$2:$B$8,0))</f>
        <v/>
      </c>
      <c r="D18" s="3">
        <f>INDEX('09_日产验算'!$J$2:$J$8,MATCH("刷"&amp;$B$6&amp;"层",'09_日产验算'!$B$2:$B$8,0))</f>
        <v/>
      </c>
      <c r="E18" s="3">
        <f>INDEX('09_日产验算'!$J$2:$J$8,MATCH("刷"&amp;$B$7&amp;"层",'09_日产验算'!$B$2:$B$8,0))</f>
        <v/>
      </c>
      <c r="F18" s="2" t="inlineStr">
        <is>
          <t>红宝箱必出红装已计入</t>
        </is>
      </c>
      <c r="G18" s="6" t="n"/>
      <c r="H18" s="6" t="n"/>
    </row>
    <row r="19">
      <c r="A19" s="2" t="inlineStr">
        <is>
          <t>副本主材总/日</t>
        </is>
      </c>
      <c r="B19" s="2" t="inlineStr">
        <is>
          <t>个/日</t>
        </is>
      </c>
      <c r="C19" s="3">
        <f>$C$5*INDEX('08_副本材料'!$E$2:$E$31,MATCH($B$5,'08_副本材料'!$A$2:$A$31,0))</f>
        <v/>
      </c>
      <c r="D19" s="3">
        <f>$C$6*INDEX('08_副本材料'!$E$2:$E$31,MATCH($B$6,'08_副本材料'!$A$2:$A$31,0))</f>
        <v/>
      </c>
      <c r="E19" s="3">
        <f>$C$7*INDEX('08_副本材料'!$E$2:$E$31,MATCH($B$7,'08_副本材料'!$A$2:$A$31,0))</f>
        <v/>
      </c>
      <c r="F19" s="2" t="inlineStr">
        <is>
          <t>副本独立主材判定</t>
        </is>
      </c>
      <c r="G19" s="6" t="n"/>
      <c r="H19" s="6" t="n"/>
    </row>
    <row r="20">
      <c r="A20" s="2" t="inlineStr">
        <is>
          <t>副本紫主材/日</t>
        </is>
      </c>
      <c r="B20" s="2" t="inlineStr">
        <is>
          <t>个/日</t>
        </is>
      </c>
      <c r="C20" s="3">
        <f>C19*INDEX('08_副本材料'!$F$2:$F$31,MATCH($B$5,'08_副本材料'!$A$2:$A$31,0))</f>
        <v/>
      </c>
      <c r="D20" s="3">
        <f>D19*INDEX('08_副本材料'!$F$2:$F$31,MATCH($B$6,'08_副本材料'!$A$2:$A$31,0))</f>
        <v/>
      </c>
      <c r="E20" s="3">
        <f>E19*INDEX('08_副本材料'!$F$2:$F$31,MATCH($B$7,'08_副本材料'!$A$2:$A$31,0))</f>
        <v/>
      </c>
      <c r="F20" s="2" t="inlineStr"/>
      <c r="G20" s="6" t="n"/>
      <c r="H20" s="6" t="n"/>
    </row>
    <row r="21">
      <c r="A21" s="2" t="inlineStr">
        <is>
          <t>副本金主材/日</t>
        </is>
      </c>
      <c r="B21" s="2" t="inlineStr">
        <is>
          <t>个/日</t>
        </is>
      </c>
      <c r="C21" s="3">
        <f>C19*INDEX('08_副本材料'!$G$2:$G$31,MATCH($B$5,'08_副本材料'!$A$2:$A$31,0))</f>
        <v/>
      </c>
      <c r="D21" s="3">
        <f>D19*INDEX('08_副本材料'!$G$2:$G$31,MATCH($B$6,'08_副本材料'!$A$2:$A$31,0))</f>
        <v/>
      </c>
      <c r="E21" s="3">
        <f>E19*INDEX('08_副本材料'!$G$2:$G$31,MATCH($B$7,'08_副本材料'!$A$2:$A$31,0))</f>
        <v/>
      </c>
      <c r="F21" s="2" t="inlineStr"/>
      <c r="G21" s="6" t="n"/>
      <c r="H21" s="6" t="n"/>
    </row>
    <row r="22">
      <c r="A22" s="2" t="inlineStr">
        <is>
          <t>副本红主材/日</t>
        </is>
      </c>
      <c r="B22" s="2" t="inlineStr">
        <is>
          <t>个/日</t>
        </is>
      </c>
      <c r="C22" s="3">
        <f>C19*INDEX('08_副本材料'!$H$2:$H$31,MATCH($B$5,'08_副本材料'!$A$2:$A$31,0))</f>
        <v/>
      </c>
      <c r="D22" s="3">
        <f>D19*INDEX('08_副本材料'!$H$2:$H$31,MATCH($B$6,'08_副本材料'!$A$2:$A$31,0))</f>
        <v/>
      </c>
      <c r="E22" s="3">
        <f>E19*INDEX('08_副本材料'!$H$2:$H$31,MATCH($B$7,'08_副本材料'!$A$2:$A$31,0))</f>
        <v/>
      </c>
      <c r="F22" s="2" t="inlineStr"/>
      <c r="G22" s="6" t="n"/>
      <c r="H22" s="6" t="n"/>
    </row>
    <row r="23">
      <c r="A23" s="2" t="inlineStr">
        <is>
          <t>副本副材总/日</t>
        </is>
      </c>
      <c r="B23" s="2" t="inlineStr">
        <is>
          <t>个/日</t>
        </is>
      </c>
      <c r="C23" s="3">
        <f>$C$5*INDEX('08_副本材料'!$I$2:$I$31,MATCH($B$5,'08_副本材料'!$A$2:$A$31,0))</f>
        <v/>
      </c>
      <c r="D23" s="3">
        <f>$C$6*INDEX('08_副本材料'!$I$2:$I$31,MATCH($B$6,'08_副本材料'!$A$2:$A$31,0))</f>
        <v/>
      </c>
      <c r="E23" s="3">
        <f>$C$7*INDEX('08_副本材料'!$I$2:$I$31,MATCH($B$7,'08_副本材料'!$A$2:$A$31,0))</f>
        <v/>
      </c>
      <c r="F23" s="2" t="inlineStr">
        <is>
          <t>副材1-4等概率</t>
        </is>
      </c>
      <c r="G23" s="6" t="n"/>
      <c r="H23" s="6" t="n"/>
    </row>
    <row r="24">
      <c r="A24" s="2" t="inlineStr">
        <is>
          <t>爬塔主材总/日</t>
        </is>
      </c>
      <c r="B24" s="2" t="inlineStr">
        <is>
          <t>个/日</t>
        </is>
      </c>
      <c r="C24" s="2" t="n">
        <v>0</v>
      </c>
      <c r="D24" s="2" t="n">
        <v>0</v>
      </c>
      <c r="E24" s="2" t="n">
        <v>0</v>
      </c>
      <c r="F24" s="2" t="inlineStr">
        <is>
          <t>爬塔挂机材料</t>
        </is>
      </c>
      <c r="G24" s="6" t="n"/>
      <c r="H24" s="6" t="n"/>
    </row>
    <row r="25">
      <c r="A25" s="2" t="inlineStr">
        <is>
          <t>爬塔紫主材/日</t>
        </is>
      </c>
      <c r="B25" s="2" t="inlineStr">
        <is>
          <t>个/日</t>
        </is>
      </c>
      <c r="C25" s="2" t="n">
        <v>0</v>
      </c>
      <c r="D25" s="2" t="n">
        <v>0</v>
      </c>
      <c r="E25" s="2" t="n">
        <v>0</v>
      </c>
      <c r="F25" s="2" t="inlineStr"/>
      <c r="G25" s="6" t="n"/>
      <c r="H25" s="6" t="n"/>
    </row>
    <row r="26">
      <c r="A26" s="2" t="inlineStr">
        <is>
          <t>爬塔金主材/日</t>
        </is>
      </c>
      <c r="B26" s="2" t="inlineStr">
        <is>
          <t>个/日</t>
        </is>
      </c>
      <c r="C26" s="2" t="n">
        <v>0</v>
      </c>
      <c r="D26" s="2" t="n">
        <v>0</v>
      </c>
      <c r="E26" s="2" t="n">
        <v>0</v>
      </c>
      <c r="F26" s="2" t="inlineStr"/>
      <c r="G26" s="6" t="n"/>
      <c r="H26" s="6" t="n"/>
    </row>
    <row r="27">
      <c r="A27" s="2" t="inlineStr">
        <is>
          <t>爬塔红主材/日</t>
        </is>
      </c>
      <c r="B27" s="2" t="inlineStr">
        <is>
          <t>个/日</t>
        </is>
      </c>
      <c r="C27" s="2" t="n">
        <v>0</v>
      </c>
      <c r="D27" s="2" t="n">
        <v>0</v>
      </c>
      <c r="E27" s="2" t="n">
        <v>0</v>
      </c>
      <c r="F27" s="2" t="inlineStr"/>
      <c r="G27" s="6" t="n"/>
      <c r="H27" s="6" t="n"/>
    </row>
    <row r="28">
      <c r="A28" s="2" t="inlineStr">
        <is>
          <t>爬塔副材总/日</t>
        </is>
      </c>
      <c r="B28" s="2" t="inlineStr">
        <is>
          <t>个/日</t>
        </is>
      </c>
      <c r="C28" s="2" t="n">
        <v>0</v>
      </c>
      <c r="D28" s="2" t="n">
        <v>0</v>
      </c>
      <c r="E28" s="2" t="n">
        <v>0</v>
      </c>
      <c r="F28" s="2" t="inlineStr">
        <is>
          <t>副材1-4等概率</t>
        </is>
      </c>
      <c r="G28" s="6" t="n"/>
      <c r="H28" s="6" t="n"/>
    </row>
    <row r="29">
      <c r="A29" s="2" t="inlineStr">
        <is>
          <t>主材合计/日</t>
        </is>
      </c>
      <c r="B29" s="2" t="inlineStr">
        <is>
          <t>个/日</t>
        </is>
      </c>
      <c r="C29" s="3">
        <f>C19+C24</f>
        <v/>
      </c>
      <c r="D29" s="3">
        <f>D19+D24</f>
        <v/>
      </c>
      <c r="E29" s="3">
        <f>E19+E24</f>
        <v/>
      </c>
      <c r="F29" s="2" t="inlineStr">
        <is>
          <t>副本 + 爬塔</t>
        </is>
      </c>
      <c r="G29" s="6" t="n"/>
      <c r="H29" s="6" t="n"/>
    </row>
    <row r="30">
      <c r="A30" s="2" t="inlineStr">
        <is>
          <t>紫主材合计/日</t>
        </is>
      </c>
      <c r="B30" s="2" t="inlineStr">
        <is>
          <t>个/日</t>
        </is>
      </c>
      <c r="C30" s="3">
        <f>C20+C25</f>
        <v/>
      </c>
      <c r="D30" s="3">
        <f>D20+D25</f>
        <v/>
      </c>
      <c r="E30" s="3">
        <f>E20+E25</f>
        <v/>
      </c>
      <c r="F30" s="2" t="inlineStr"/>
      <c r="G30" s="6" t="n"/>
      <c r="H30" s="6" t="n"/>
    </row>
    <row r="31">
      <c r="A31" s="2" t="inlineStr">
        <is>
          <t>金主材合计/日</t>
        </is>
      </c>
      <c r="B31" s="2" t="inlineStr">
        <is>
          <t>个/日</t>
        </is>
      </c>
      <c r="C31" s="3">
        <f>C21+C26</f>
        <v/>
      </c>
      <c r="D31" s="3">
        <f>D21+D26</f>
        <v/>
      </c>
      <c r="E31" s="3">
        <f>E21+E26</f>
        <v/>
      </c>
      <c r="F31" s="2" t="inlineStr"/>
      <c r="G31" s="6" t="n"/>
      <c r="H31" s="6" t="n"/>
    </row>
    <row r="32">
      <c r="A32" s="2" t="inlineStr">
        <is>
          <t>红主材合计/日</t>
        </is>
      </c>
      <c r="B32" s="2" t="inlineStr">
        <is>
          <t>个/日</t>
        </is>
      </c>
      <c r="C32" s="3">
        <f>C22+C27</f>
        <v/>
      </c>
      <c r="D32" s="3">
        <f>D22+D27</f>
        <v/>
      </c>
      <c r="E32" s="3">
        <f>E22+E27</f>
        <v/>
      </c>
      <c r="F32" s="2" t="inlineStr"/>
      <c r="G32" s="6" t="n"/>
      <c r="H32" s="6" t="n"/>
    </row>
    <row r="33">
      <c r="A33" s="2" t="inlineStr">
        <is>
          <t>副材合计/日</t>
        </is>
      </c>
      <c r="B33" s="2" t="inlineStr">
        <is>
          <t>个/日</t>
        </is>
      </c>
      <c r="C33" s="3">
        <f>C23+C28</f>
        <v/>
      </c>
      <c r="D33" s="3">
        <f>D23+D28</f>
        <v/>
      </c>
      <c r="E33" s="3">
        <f>E23+E28</f>
        <v/>
      </c>
      <c r="F33" s="2" t="inlineStr">
        <is>
          <t>副本 + 爬塔</t>
        </is>
      </c>
      <c r="G33" s="6" t="n"/>
      <c r="H33" s="6" t="n"/>
    </row>
    <row r="34">
      <c r="A34" s="2" t="inlineStr">
        <is>
          <t>单种副材合计/日</t>
        </is>
      </c>
      <c r="B34" s="2" t="inlineStr">
        <is>
          <t>个/日</t>
        </is>
      </c>
      <c r="C34" s="3">
        <f>C33/4</f>
        <v/>
      </c>
      <c r="D34" s="3">
        <f>D33/4</f>
        <v/>
      </c>
      <c r="E34" s="3">
        <f>E33/4</f>
        <v/>
      </c>
      <c r="F34" s="2" t="inlineStr">
        <is>
          <t>副材1/2/3/4等概率</t>
        </is>
      </c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8" t="inlineStr">
        <is>
          <t>二、打造消耗承载（按每日材料全投入，三种品质不同时发生）</t>
        </is>
      </c>
      <c r="B36" s="6" t="n"/>
      <c r="C36" s="6" t="n"/>
      <c r="D36" s="6" t="n"/>
      <c r="E36" s="6" t="n"/>
      <c r="F36" s="6" t="n"/>
      <c r="G36" s="6" t="n"/>
      <c r="H36" s="6" t="n"/>
    </row>
    <row r="37">
      <c r="A37" s="1" t="inlineStr">
        <is>
          <t>指标</t>
        </is>
      </c>
      <c r="B37" s="1" t="inlineStr">
        <is>
          <t>单位/口径</t>
        </is>
      </c>
      <c r="C37" s="1" t="inlineStr">
        <is>
          <t>前期</t>
        </is>
      </c>
      <c r="D37" s="1" t="inlineStr">
        <is>
          <t>中期</t>
        </is>
      </c>
      <c r="E37" s="1" t="inlineStr">
        <is>
          <t>后期</t>
        </is>
      </c>
      <c r="F37" s="1" t="inlineStr">
        <is>
          <t>说明</t>
        </is>
      </c>
      <c r="G37" s="6" t="n"/>
      <c r="H37" s="6" t="n"/>
    </row>
    <row r="38">
      <c r="A38" s="2" t="inlineStr">
        <is>
          <t>代表打造金币/次</t>
        </is>
      </c>
      <c r="B38" s="2" t="inlineStr">
        <is>
          <t>金币/次</t>
        </is>
      </c>
      <c r="C38" s="3">
        <f>INDEX('14_打造消耗'!$E$2:$E$9,MATCH($G$5,'14_打造消耗'!$C$2:$C$9,0))</f>
        <v/>
      </c>
      <c r="D38" s="3">
        <f>INDEX('14_打造消耗'!$E$2:$E$9,MATCH($G$6,'14_打造消耗'!$C$2:$C$9,0))</f>
        <v/>
      </c>
      <c r="E38" s="3">
        <f>INDEX('14_打造消耗'!$E$2:$E$9,MATCH($G$7,'14_打造消耗'!$C$2:$C$9,0))</f>
        <v/>
      </c>
      <c r="F38" s="2" t="inlineStr">
        <is>
          <t>取阶段假设中的打造档位等级</t>
        </is>
      </c>
      <c r="G38" s="6" t="n"/>
      <c r="H38" s="6" t="n"/>
    </row>
    <row r="39">
      <c r="A39" s="2" t="inlineStr">
        <is>
          <t>紫主材每种副材消耗</t>
        </is>
      </c>
      <c r="B39" s="2" t="inlineStr">
        <is>
          <t>个/次</t>
        </is>
      </c>
      <c r="C39" s="3">
        <f>INDEX('14_打造消耗'!$F$2:$F$9,MATCH($G$5,'14_打造消耗'!$C$2:$C$9,0))</f>
        <v/>
      </c>
      <c r="D39" s="3">
        <f>INDEX('14_打造消耗'!$F$2:$F$9,MATCH($G$6,'14_打造消耗'!$C$2:$C$9,0))</f>
        <v/>
      </c>
      <c r="E39" s="3">
        <f>INDEX('14_打造消耗'!$F$2:$F$9,MATCH($G$7,'14_打造消耗'!$C$2:$C$9,0))</f>
        <v/>
      </c>
      <c r="F39" s="2" t="inlineStr">
        <is>
          <t>每次消耗2种副材，各消耗该数值</t>
        </is>
      </c>
      <c r="G39" s="6" t="n"/>
      <c r="H39" s="6" t="n"/>
    </row>
    <row r="40">
      <c r="A40" s="2" t="inlineStr">
        <is>
          <t>金主材每种副材消耗</t>
        </is>
      </c>
      <c r="B40" s="2" t="inlineStr">
        <is>
          <t>个/次</t>
        </is>
      </c>
      <c r="C40" s="3">
        <f>INDEX('14_打造消耗'!$G$2:$G$9,MATCH($G$5,'14_打造消耗'!$C$2:$C$9,0))</f>
        <v/>
      </c>
      <c r="D40" s="3">
        <f>INDEX('14_打造消耗'!$G$2:$G$9,MATCH($G$6,'14_打造消耗'!$C$2:$C$9,0))</f>
        <v/>
      </c>
      <c r="E40" s="3">
        <f>INDEX('14_打造消耗'!$G$2:$G$9,MATCH($G$7,'14_打造消耗'!$C$2:$C$9,0))</f>
        <v/>
      </c>
      <c r="F40" s="2" t="inlineStr"/>
      <c r="G40" s="6" t="n"/>
      <c r="H40" s="6" t="n"/>
    </row>
    <row r="41">
      <c r="A41" s="2" t="inlineStr">
        <is>
          <t>红主材每种副材消耗</t>
        </is>
      </c>
      <c r="B41" s="2" t="inlineStr">
        <is>
          <t>个/次</t>
        </is>
      </c>
      <c r="C41" s="3">
        <f>INDEX('14_打造消耗'!$H$2:$H$9,MATCH($G$5,'14_打造消耗'!$C$2:$C$9,0))</f>
        <v/>
      </c>
      <c r="D41" s="3">
        <f>INDEX('14_打造消耗'!$H$2:$H$9,MATCH($G$6,'14_打造消耗'!$C$2:$C$9,0))</f>
        <v/>
      </c>
      <c r="E41" s="3">
        <f>INDEX('14_打造消耗'!$H$2:$H$9,MATCH($G$7,'14_打造消耗'!$C$2:$C$9,0))</f>
        <v/>
      </c>
      <c r="F41" s="2" t="inlineStr"/>
      <c r="G41" s="6" t="n"/>
      <c r="H41" s="6" t="n"/>
    </row>
    <row r="42">
      <c r="A42" s="2" t="inlineStr">
        <is>
          <t>紫主材可支撑打造次数/日</t>
        </is>
      </c>
      <c r="B42" s="2" t="inlineStr">
        <is>
          <t>次/日</t>
        </is>
      </c>
      <c r="C42" s="3">
        <f>MIN(C30,C33/(2*C39))</f>
        <v/>
      </c>
      <c r="D42" s="3">
        <f>MIN(D30,D33/(2*D39))</f>
        <v/>
      </c>
      <c r="E42" s="3">
        <f>MIN(E30,E33/(2*E39))</f>
        <v/>
      </c>
      <c r="F42" s="2" t="inlineStr">
        <is>
          <t>若全投入紫主材打造</t>
        </is>
      </c>
      <c r="G42" s="6" t="n"/>
      <c r="H42" s="6" t="n"/>
    </row>
    <row r="43">
      <c r="A43" s="2" t="inlineStr">
        <is>
          <t>金主材可支撑打造次数/日</t>
        </is>
      </c>
      <c r="B43" s="2" t="inlineStr">
        <is>
          <t>次/日</t>
        </is>
      </c>
      <c r="C43" s="3">
        <f>MIN(C31,C33/(2*C40))</f>
        <v/>
      </c>
      <c r="D43" s="3">
        <f>MIN(D31,D33/(2*D40))</f>
        <v/>
      </c>
      <c r="E43" s="3">
        <f>MIN(E31,E33/(2*E40))</f>
        <v/>
      </c>
      <c r="F43" s="2" t="inlineStr">
        <is>
          <t>若全投入金主材打造</t>
        </is>
      </c>
      <c r="G43" s="6" t="n"/>
      <c r="H43" s="6" t="n"/>
    </row>
    <row r="44">
      <c r="A44" s="2" t="inlineStr">
        <is>
          <t>红主材可支撑打造次数/日</t>
        </is>
      </c>
      <c r="B44" s="2" t="inlineStr">
        <is>
          <t>次/日</t>
        </is>
      </c>
      <c r="C44" s="3">
        <f>MIN(C32,C33/(2*C41))</f>
        <v/>
      </c>
      <c r="D44" s="3">
        <f>MIN(D32,D33/(2*D41))</f>
        <v/>
      </c>
      <c r="E44" s="3">
        <f>MIN(E32,E33/(2*E41))</f>
        <v/>
      </c>
      <c r="F44" s="2" t="inlineStr">
        <is>
          <t>若全投入红主材打造</t>
        </is>
      </c>
      <c r="G44" s="6" t="n"/>
      <c r="H44" s="6" t="n"/>
    </row>
    <row r="45">
      <c r="A45" s="2" t="inlineStr">
        <is>
          <t>紫打造金币消耗/日</t>
        </is>
      </c>
      <c r="B45" s="2" t="inlineStr">
        <is>
          <t>金币/日</t>
        </is>
      </c>
      <c r="C45" s="3">
        <f>C42*C38</f>
        <v/>
      </c>
      <c r="D45" s="3">
        <f>D42*D38</f>
        <v/>
      </c>
      <c r="E45" s="3">
        <f>E42*E38</f>
        <v/>
      </c>
      <c r="F45" s="2" t="inlineStr">
        <is>
          <t>按可支撑次数折算</t>
        </is>
      </c>
      <c r="G45" s="6" t="n"/>
      <c r="H45" s="6" t="n"/>
    </row>
    <row r="46">
      <c r="A46" s="2" t="inlineStr">
        <is>
          <t>金打造金币消耗/日</t>
        </is>
      </c>
      <c r="B46" s="2" t="inlineStr">
        <is>
          <t>金币/日</t>
        </is>
      </c>
      <c r="C46" s="3">
        <f>C43*C38</f>
        <v/>
      </c>
      <c r="D46" s="3">
        <f>D43*D38</f>
        <v/>
      </c>
      <c r="E46" s="3">
        <f>E43*E38</f>
        <v/>
      </c>
      <c r="F46" s="2" t="inlineStr">
        <is>
          <t>按可支撑次数折算</t>
        </is>
      </c>
      <c r="G46" s="6" t="n"/>
      <c r="H46" s="6" t="n"/>
    </row>
    <row r="47">
      <c r="A47" s="2" t="inlineStr">
        <is>
          <t>红打造金币消耗/日</t>
        </is>
      </c>
      <c r="B47" s="2" t="inlineStr">
        <is>
          <t>金币/日</t>
        </is>
      </c>
      <c r="C47" s="3">
        <f>C44*C38</f>
        <v/>
      </c>
      <c r="D47" s="3">
        <f>D44*D38</f>
        <v/>
      </c>
      <c r="E47" s="3">
        <f>E44*E38</f>
        <v/>
      </c>
      <c r="F47" s="2" t="inlineStr">
        <is>
          <t>按可支撑次数折算</t>
        </is>
      </c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8" t="inlineStr">
        <is>
          <t>三、合成消耗承载（按掉落装备全用于同品质合成的潜在上限）</t>
        </is>
      </c>
      <c r="B49" s="6" t="n"/>
      <c r="C49" s="6" t="n"/>
      <c r="D49" s="6" t="n"/>
      <c r="E49" s="6" t="n"/>
      <c r="F49" s="6" t="n"/>
      <c r="G49" s="6" t="n"/>
      <c r="H49" s="6" t="n"/>
    </row>
    <row r="50">
      <c r="A50" s="1" t="inlineStr">
        <is>
          <t>指标</t>
        </is>
      </c>
      <c r="B50" s="1" t="inlineStr">
        <is>
          <t>单位/口径</t>
        </is>
      </c>
      <c r="C50" s="1" t="inlineStr">
        <is>
          <t>前期</t>
        </is>
      </c>
      <c r="D50" s="1" t="inlineStr">
        <is>
          <t>中期</t>
        </is>
      </c>
      <c r="E50" s="1" t="inlineStr">
        <is>
          <t>后期</t>
        </is>
      </c>
      <c r="F50" s="1" t="inlineStr">
        <is>
          <t>说明</t>
        </is>
      </c>
      <c r="G50" s="6" t="n"/>
      <c r="H50" s="6" t="n"/>
    </row>
    <row r="51">
      <c r="A51" s="2" t="inlineStr">
        <is>
          <t>绿装合成金币/次</t>
        </is>
      </c>
      <c r="B51" s="2" t="inlineStr">
        <is>
          <t>金币/次</t>
        </is>
      </c>
      <c r="C51" s="3">
        <f>INDEX('12_合成消耗'!$G$2:$G$9,MATCH($F$5,'12_合成消耗'!$A$2:$A$9,0))</f>
        <v/>
      </c>
      <c r="D51" s="3">
        <f>INDEX('12_合成消耗'!$G$2:$G$9,MATCH($F$6,'12_合成消耗'!$A$2:$A$9,0))</f>
        <v/>
      </c>
      <c r="E51" s="3">
        <f>INDEX('12_合成消耗'!$G$2:$G$9,MATCH($F$7,'12_合成消耗'!$A$2:$A$9,0))</f>
        <v/>
      </c>
      <c r="F51" s="2" t="inlineStr">
        <is>
          <t>代表合成档</t>
        </is>
      </c>
      <c r="G51" s="6" t="n"/>
      <c r="H51" s="6" t="n"/>
    </row>
    <row r="52">
      <c r="A52" s="2" t="inlineStr">
        <is>
          <t>蓝装合成金币/次</t>
        </is>
      </c>
      <c r="B52" s="2" t="inlineStr">
        <is>
          <t>金币/次</t>
        </is>
      </c>
      <c r="C52" s="3">
        <f>INDEX('12_合成消耗'!$H$2:$H$9,MATCH($F$5,'12_合成消耗'!$A$2:$A$9,0))</f>
        <v/>
      </c>
      <c r="D52" s="3">
        <f>INDEX('12_合成消耗'!$H$2:$H$9,MATCH($F$6,'12_合成消耗'!$A$2:$A$9,0))</f>
        <v/>
      </c>
      <c r="E52" s="3">
        <f>INDEX('12_合成消耗'!$H$2:$H$9,MATCH($F$7,'12_合成消耗'!$A$2:$A$9,0))</f>
        <v/>
      </c>
      <c r="F52" s="2" t="inlineStr"/>
      <c r="G52" s="6" t="n"/>
      <c r="H52" s="6" t="n"/>
    </row>
    <row r="53">
      <c r="A53" s="2" t="inlineStr">
        <is>
          <t>紫装合成金币/次</t>
        </is>
      </c>
      <c r="B53" s="2" t="inlineStr">
        <is>
          <t>金币/次</t>
        </is>
      </c>
      <c r="C53" s="3">
        <f>INDEX('12_合成消耗'!$I$2:$I$9,MATCH($F$5,'12_合成消耗'!$A$2:$A$9,0))</f>
        <v/>
      </c>
      <c r="D53" s="3">
        <f>INDEX('12_合成消耗'!$I$2:$I$9,MATCH($F$6,'12_合成消耗'!$A$2:$A$9,0))</f>
        <v/>
      </c>
      <c r="E53" s="3">
        <f>INDEX('12_合成消耗'!$I$2:$I$9,MATCH($F$7,'12_合成消耗'!$A$2:$A$9,0))</f>
        <v/>
      </c>
      <c r="F53" s="2" t="inlineStr"/>
      <c r="G53" s="6" t="n"/>
      <c r="H53" s="6" t="n"/>
    </row>
    <row r="54">
      <c r="A54" s="2" t="inlineStr">
        <is>
          <t>金装合成金币/次</t>
        </is>
      </c>
      <c r="B54" s="2" t="inlineStr">
        <is>
          <t>金币/次</t>
        </is>
      </c>
      <c r="C54" s="3">
        <f>INDEX('12_合成消耗'!$J$2:$J$9,MATCH($F$5,'12_合成消耗'!$A$2:$A$9,0))</f>
        <v/>
      </c>
      <c r="D54" s="3">
        <f>INDEX('12_合成消耗'!$J$2:$J$9,MATCH($F$6,'12_合成消耗'!$A$2:$A$9,0))</f>
        <v/>
      </c>
      <c r="E54" s="3">
        <f>INDEX('12_合成消耗'!$J$2:$J$9,MATCH($F$7,'12_合成消耗'!$A$2:$A$9,0))</f>
        <v/>
      </c>
      <c r="F54" s="2" t="inlineStr"/>
      <c r="G54" s="6" t="n"/>
      <c r="H54" s="6" t="n"/>
    </row>
    <row r="55">
      <c r="A55" s="2" t="inlineStr">
        <is>
          <t>红装合成金币/次</t>
        </is>
      </c>
      <c r="B55" s="2" t="inlineStr">
        <is>
          <t>金币/次</t>
        </is>
      </c>
      <c r="C55" s="3">
        <f>INDEX('12_合成消耗'!$K$2:$K$9,MATCH($F$5,'12_合成消耗'!$A$2:$A$9,0))</f>
        <v/>
      </c>
      <c r="D55" s="3">
        <f>INDEX('12_合成消耗'!$K$2:$K$9,MATCH($F$6,'12_合成消耗'!$A$2:$A$9,0))</f>
        <v/>
      </c>
      <c r="E55" s="3">
        <f>INDEX('12_合成消耗'!$K$2:$K$9,MATCH($F$7,'12_合成消耗'!$A$2:$A$9,0))</f>
        <v/>
      </c>
      <c r="F55" s="2" t="inlineStr"/>
      <c r="G55" s="6" t="n"/>
      <c r="H55" s="6" t="n"/>
    </row>
    <row r="56">
      <c r="A56" s="2" t="inlineStr">
        <is>
          <t>绿装潜在合成次数/日</t>
        </is>
      </c>
      <c r="B56" s="2" t="inlineStr">
        <is>
          <t>次/日</t>
        </is>
      </c>
      <c r="C56" s="3">
        <f>C14/9</f>
        <v/>
      </c>
      <c r="D56" s="3">
        <f>D14/9</f>
        <v/>
      </c>
      <c r="E56" s="3">
        <f>E14/9</f>
        <v/>
      </c>
      <c r="F56" s="2" t="inlineStr">
        <is>
          <t>9件同品质合1次</t>
        </is>
      </c>
      <c r="G56" s="6" t="n"/>
      <c r="H56" s="6" t="n"/>
    </row>
    <row r="57">
      <c r="A57" s="2" t="inlineStr">
        <is>
          <t>蓝装潜在合成次数/日</t>
        </is>
      </c>
      <c r="B57" s="2" t="inlineStr">
        <is>
          <t>次/日</t>
        </is>
      </c>
      <c r="C57" s="3">
        <f>C15/9</f>
        <v/>
      </c>
      <c r="D57" s="3">
        <f>D15/9</f>
        <v/>
      </c>
      <c r="E57" s="3">
        <f>E15/9</f>
        <v/>
      </c>
      <c r="F57" s="2" t="inlineStr"/>
      <c r="G57" s="6" t="n"/>
      <c r="H57" s="6" t="n"/>
    </row>
    <row r="58">
      <c r="A58" s="2" t="inlineStr">
        <is>
          <t>紫装潜在合成次数/日</t>
        </is>
      </c>
      <c r="B58" s="2" t="inlineStr">
        <is>
          <t>次/日</t>
        </is>
      </c>
      <c r="C58" s="3">
        <f>C16/9</f>
        <v/>
      </c>
      <c r="D58" s="3">
        <f>D16/9</f>
        <v/>
      </c>
      <c r="E58" s="3">
        <f>E16/9</f>
        <v/>
      </c>
      <c r="F58" s="2" t="inlineStr"/>
      <c r="G58" s="6" t="n"/>
      <c r="H58" s="6" t="n"/>
    </row>
    <row r="59">
      <c r="A59" s="2" t="inlineStr">
        <is>
          <t>金装潜在合成次数/日</t>
        </is>
      </c>
      <c r="B59" s="2" t="inlineStr">
        <is>
          <t>次/日</t>
        </is>
      </c>
      <c r="C59" s="3">
        <f>C17/9</f>
        <v/>
      </c>
      <c r="D59" s="3">
        <f>D17/9</f>
        <v/>
      </c>
      <c r="E59" s="3">
        <f>E17/9</f>
        <v/>
      </c>
      <c r="F59" s="2" t="inlineStr"/>
      <c r="G59" s="6" t="n"/>
      <c r="H59" s="6" t="n"/>
    </row>
    <row r="60">
      <c r="A60" s="2" t="inlineStr">
        <is>
          <t>红装潜在合成次数/日</t>
        </is>
      </c>
      <c r="B60" s="2" t="inlineStr">
        <is>
          <t>次/日</t>
        </is>
      </c>
      <c r="C60" s="3">
        <f>C18/9</f>
        <v/>
      </c>
      <c r="D60" s="3">
        <f>D18/9</f>
        <v/>
      </c>
      <c r="E60" s="3">
        <f>E18/9</f>
        <v/>
      </c>
      <c r="F60" s="2" t="inlineStr"/>
      <c r="G60" s="6" t="n"/>
      <c r="H60" s="6" t="n"/>
    </row>
    <row r="61">
      <c r="A61" s="2" t="inlineStr">
        <is>
          <t>全品质潜在合成次数/日</t>
        </is>
      </c>
      <c r="B61" s="2" t="inlineStr">
        <is>
          <t>次/日</t>
        </is>
      </c>
      <c r="C61" s="3">
        <f>SUM(C56:C60)</f>
        <v/>
      </c>
      <c r="D61" s="3">
        <f>SUM(D56:D60)</f>
        <v/>
      </c>
      <c r="E61" s="3">
        <f>SUM(E56:E60)</f>
        <v/>
      </c>
      <c r="F61" s="2" t="inlineStr">
        <is>
          <t>各品质分别除以9后汇总</t>
        </is>
      </c>
      <c r="G61" s="6" t="n"/>
      <c r="H61" s="6" t="n"/>
    </row>
    <row r="62">
      <c r="A62" s="2" t="inlineStr">
        <is>
          <t>全品质潜在合成金币消耗/日</t>
        </is>
      </c>
      <c r="B62" s="2" t="inlineStr">
        <is>
          <t>金币/日</t>
        </is>
      </c>
      <c r="C62" s="3">
        <f>C56*C51+C57*C52+C58*C53+C59*C54+C60*C55</f>
        <v/>
      </c>
      <c r="D62" s="3">
        <f>D56*D51+D57*D52+D58*D53+D59*D54+D60*D55</f>
        <v/>
      </c>
      <c r="E62" s="3">
        <f>E56*E51+E57*E52+E58*E53+E59*E54+E60*E55</f>
        <v/>
      </c>
      <c r="F62" s="2" t="inlineStr">
        <is>
          <t>潜在上限，不代表实际每日必消耗</t>
        </is>
      </c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8" t="inlineStr">
        <is>
          <t>四、回收与金币压力参考</t>
        </is>
      </c>
      <c r="B64" s="6" t="n"/>
      <c r="C64" s="6" t="n"/>
      <c r="D64" s="6" t="n"/>
      <c r="E64" s="6" t="n"/>
      <c r="F64" s="6" t="n"/>
      <c r="G64" s="6" t="n"/>
      <c r="H64" s="6" t="n"/>
    </row>
    <row r="65">
      <c r="A65" s="1" t="inlineStr">
        <is>
          <t>指标</t>
        </is>
      </c>
      <c r="B65" s="1" t="inlineStr">
        <is>
          <t>单位/口径</t>
        </is>
      </c>
      <c r="C65" s="1" t="inlineStr">
        <is>
          <t>前期</t>
        </is>
      </c>
      <c r="D65" s="1" t="inlineStr">
        <is>
          <t>中期</t>
        </is>
      </c>
      <c r="E65" s="1" t="inlineStr">
        <is>
          <t>后期</t>
        </is>
      </c>
      <c r="F65" s="1" t="inlineStr">
        <is>
          <t>说明</t>
        </is>
      </c>
      <c r="G65" s="6" t="n"/>
      <c r="H65" s="6" t="n"/>
    </row>
    <row r="66">
      <c r="A66" s="2" t="inlineStr">
        <is>
          <t>全分解金币回收上限/日</t>
        </is>
      </c>
      <c r="B66" s="2" t="inlineStr">
        <is>
          <t>金币/日</t>
        </is>
      </c>
      <c r="C66" s="3">
        <f>INDEX('09_日产验算'!$K$2:$K$8,MATCH("刷"&amp;$B$5&amp;"层",'09_日产验算'!$B$2:$B$8,0))</f>
        <v/>
      </c>
      <c r="D66" s="3">
        <f>INDEX('09_日产验算'!$K$2:$K$8,MATCH("刷"&amp;$B$6&amp;"层",'09_日产验算'!$B$2:$B$8,0))</f>
        <v/>
      </c>
      <c r="E66" s="3">
        <f>INDEX('09_日产验算'!$K$2:$K$8,MATCH("刷"&amp;$B$7&amp;"层",'09_日产验算'!$B$2:$B$8,0))</f>
        <v/>
      </c>
      <c r="F66" s="2" t="inlineStr">
        <is>
          <t>若当日装备全部分解</t>
        </is>
      </c>
      <c r="G66" s="6" t="n"/>
      <c r="H66" s="6" t="n"/>
    </row>
    <row r="67">
      <c r="A67" s="2" t="inlineStr">
        <is>
          <t>全分解锻造台经验上限/日</t>
        </is>
      </c>
      <c r="B67" s="2" t="inlineStr">
        <is>
          <t>经验/日</t>
        </is>
      </c>
      <c r="C67" s="3">
        <f>C14*INDEX('16_分解回收'!$H$2:$H$13,MATCH($G$5,'16_分解回收'!$A$2:$A$13,0))+C15*INDEX('16_分解回收'!$I$2:$I$13,MATCH($G$5,'16_分解回收'!$A$2:$A$13,0))+C16*INDEX('16_分解回收'!$J$2:$J$13,MATCH($G$5,'16_分解回收'!$A$2:$A$13,0))+C17*INDEX('16_分解回收'!$K$2:$K$13,MATCH($G$5,'16_分解回收'!$A$2:$A$13,0))+C18*INDEX('16_分解回收'!$L$2:$L$13,MATCH($G$5,'16_分解回收'!$A$2:$A$13,0))</f>
        <v/>
      </c>
      <c r="D67" s="3">
        <f>D14*INDEX('16_分解回收'!$H$2:$H$13,MATCH($G$6,'16_分解回收'!$A$2:$A$13,0))+D15*INDEX('16_分解回收'!$I$2:$I$13,MATCH($G$6,'16_分解回收'!$A$2:$A$13,0))+D16*INDEX('16_分解回收'!$J$2:$J$13,MATCH($G$6,'16_分解回收'!$A$2:$A$13,0))+D17*INDEX('16_分解回收'!$K$2:$K$13,MATCH($G$6,'16_分解回收'!$A$2:$A$13,0))+D18*INDEX('16_分解回收'!$L$2:$L$13,MATCH($G$6,'16_分解回收'!$A$2:$A$13,0))</f>
        <v/>
      </c>
      <c r="E67" s="3">
        <f>E14*INDEX('16_分解回收'!$H$2:$H$13,MATCH($G$7,'16_分解回收'!$A$2:$A$13,0))+E15*INDEX('16_分解回收'!$I$2:$I$13,MATCH($G$7,'16_分解回收'!$A$2:$A$13,0))+E16*INDEX('16_分解回收'!$J$2:$J$13,MATCH($G$7,'16_分解回收'!$A$2:$A$13,0))+E17*INDEX('16_分解回收'!$K$2:$K$13,MATCH($G$7,'16_分解回收'!$A$2:$A$13,0))+E18*INDEX('16_分解回收'!$L$2:$L$13,MATCH($G$7,'16_分解回收'!$A$2:$A$13,0))</f>
        <v/>
      </c>
      <c r="F67" s="2" t="inlineStr">
        <is>
          <t>按阶段打造档位等级匹配分解经验</t>
        </is>
      </c>
      <c r="G67" s="6" t="n"/>
      <c r="H67" s="6" t="n"/>
    </row>
    <row r="68">
      <c r="A68" s="2" t="inlineStr">
        <is>
          <t>高阶零件(23)上限/日</t>
        </is>
      </c>
      <c r="B68" s="2" t="inlineStr">
        <is>
          <t>个/日</t>
        </is>
      </c>
      <c r="C68" s="3">
        <f>C18</f>
        <v/>
      </c>
      <c r="D68" s="3">
        <f>D18</f>
        <v/>
      </c>
      <c r="E68" s="3">
        <f>E18</f>
        <v/>
      </c>
      <c r="F68" s="2" t="inlineStr">
        <is>
          <t>按红装全部分解、每件红装x1估算</t>
        </is>
      </c>
      <c r="G68" s="6" t="n"/>
      <c r="H68" s="6" t="n"/>
    </row>
    <row r="69">
      <c r="A69" s="2" t="inlineStr">
        <is>
          <t>金币供给参考/日</t>
        </is>
      </c>
      <c r="B69" s="2" t="inlineStr">
        <is>
          <t>金币/日</t>
        </is>
      </c>
      <c r="C69" s="3">
        <f>C12+C66</f>
        <v/>
      </c>
      <c r="D69" s="3">
        <f>D12+D66</f>
        <v/>
      </c>
      <c r="E69" s="3">
        <f>E12+E66</f>
        <v/>
      </c>
      <c r="F69" s="2" t="inlineStr">
        <is>
          <t>爬塔金币 + 全分解金币上限</t>
        </is>
      </c>
      <c r="G69" s="6" t="n"/>
      <c r="H69" s="6" t="n"/>
    </row>
    <row r="70">
      <c r="A70" s="2" t="inlineStr">
        <is>
          <t>扣除潜在合成后金币余量</t>
        </is>
      </c>
      <c r="B70" s="2" t="inlineStr">
        <is>
          <t>金币/日</t>
        </is>
      </c>
      <c r="C70" s="3">
        <f>C69-C62</f>
        <v/>
      </c>
      <c r="D70" s="3">
        <f>D69-D62</f>
        <v/>
      </c>
      <c r="E70" s="3">
        <f>E69-E62</f>
        <v/>
      </c>
      <c r="F70" s="2" t="inlineStr">
        <is>
          <t>仅用于压力参考</t>
        </is>
      </c>
      <c r="G70" s="6" t="n"/>
      <c r="H70" s="6" t="n"/>
    </row>
    <row r="71">
      <c r="A71" s="2" t="inlineStr">
        <is>
          <t>扣除紫打造后金币余量</t>
        </is>
      </c>
      <c r="B71" s="2" t="inlineStr">
        <is>
          <t>金币/日</t>
        </is>
      </c>
      <c r="C71" s="3">
        <f>C69-C45</f>
        <v/>
      </c>
      <c r="D71" s="3">
        <f>D69-D45</f>
        <v/>
      </c>
      <c r="E71" s="3">
        <f>E69-E45</f>
        <v/>
      </c>
      <c r="F71" s="2" t="inlineStr">
        <is>
          <t>若每日材料全投紫打造</t>
        </is>
      </c>
      <c r="G71" s="6" t="n"/>
      <c r="H71" s="6" t="n"/>
    </row>
    <row r="72">
      <c r="A72" s="2" t="inlineStr">
        <is>
          <t>扣除金打造后金币余量</t>
        </is>
      </c>
      <c r="B72" s="2" t="inlineStr">
        <is>
          <t>金币/日</t>
        </is>
      </c>
      <c r="C72" s="3">
        <f>C69-C46</f>
        <v/>
      </c>
      <c r="D72" s="3">
        <f>D69-D46</f>
        <v/>
      </c>
      <c r="E72" s="3">
        <f>E69-E46</f>
        <v/>
      </c>
      <c r="F72" s="2" t="inlineStr">
        <is>
          <t>若每日材料全投金打造</t>
        </is>
      </c>
      <c r="G72" s="6" t="n"/>
      <c r="H72" s="6" t="n"/>
    </row>
    <row r="73">
      <c r="A73" s="2" t="inlineStr">
        <is>
          <t>扣除红打造后金币余量</t>
        </is>
      </c>
      <c r="B73" s="2" t="inlineStr">
        <is>
          <t>金币/日</t>
        </is>
      </c>
      <c r="C73" s="3">
        <f>C69-C47</f>
        <v/>
      </c>
      <c r="D73" s="3">
        <f>D69-D47</f>
        <v/>
      </c>
      <c r="E73" s="3">
        <f>E69-E47</f>
        <v/>
      </c>
      <c r="F73" s="2" t="inlineStr">
        <is>
          <t>若每日材料全投红打造</t>
        </is>
      </c>
      <c r="G73" s="6" t="n"/>
      <c r="H73" s="6" t="n"/>
    </row>
  </sheetData>
  <autoFilter ref="A1:H73"/>
  <mergeCells count="6">
    <mergeCell ref="A9:H9"/>
    <mergeCell ref="A3:H3"/>
    <mergeCell ref="A64:H64"/>
    <mergeCell ref="A36:H36"/>
    <mergeCell ref="A49:H49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2026-09-05T04:05:02Z</dcterms:created>
  <dcterms:modified xmlns:dcterms="http://purl.org/dc/terms/" xmlns:xsi="http://www.w3.org/2001/XMLSchema-instance" xsi:type="dcterms:W3CDTF">2026-09-05T04:05:03Z</dcterms:modified>
</cp:coreProperties>
</file>