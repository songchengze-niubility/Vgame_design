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17" activeTab="11"/>
  </bookViews>
  <sheets>
    <sheet name="00_阅读说明" sheetId="1" r:id="rId1"/>
    <sheet name="01_系统总览" sheetId="2" r:id="rId2"/>
    <sheet name="02_主属性" sheetId="3" r:id="rId3"/>
    <sheet name="03_副属性" sheetId="4" r:id="rId4"/>
    <sheet name="04_宝箱规则" sheetId="5" r:id="rId5"/>
    <sheet name="05_副本掉落" sheetId="6" r:id="rId6"/>
    <sheet name="06_等级池" sheetId="7" r:id="rId7"/>
    <sheet name="07_首通奖励" sheetId="8" r:id="rId8"/>
    <sheet name="08_合成" sheetId="9" r:id="rId9"/>
    <sheet name="09_分解" sheetId="10" r:id="rId10"/>
    <sheet name="10_洗练" sheetId="11" r:id="rId11"/>
    <sheet name="11_制作" sheetId="12" r:id="rId12"/>
    <sheet name="12_产出验算" sheetId="13" r:id="rId13"/>
    <sheet name="13_配置影响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A3" authorId="0">
      <text>
        <r>
          <rPr>
            <sz val="10"/>
            <rFont val="宋体"/>
            <charset val="134"/>
          </rPr>
          <t>Source: 映射装备系统数值设计文档, 2026-07-03, 当前讨论确认口径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A3" authorId="0">
      <text>
        <r>
          <rPr>
            <sz val="10"/>
            <rFont val="宋体"/>
            <charset val="134"/>
          </rPr>
          <t>Source: 映射装备系统数值设计文档, 2026-07-03, 当前讨论确认口径</t>
        </r>
      </text>
    </comment>
  </commentList>
</comments>
</file>

<file path=xl/comments3.xml><?xml version="1.0" encoding="utf-8"?>
<comments xmlns="http://schemas.openxmlformats.org/spreadsheetml/2006/main">
  <authors>
    <author>Codex</author>
  </authors>
  <commentList>
    <comment ref="A3" authorId="0">
      <text>
        <r>
          <rPr>
            <sz val="10"/>
            <rFont val="宋体"/>
            <charset val="134"/>
          </rPr>
          <t>Source: 映射装备系统数值设计文档, 2026-07-03, 当前讨论确认口径</t>
        </r>
      </text>
    </comment>
  </commentList>
</comments>
</file>

<file path=xl/comments4.xml><?xml version="1.0" encoding="utf-8"?>
<comments xmlns="http://schemas.openxmlformats.org/spreadsheetml/2006/main">
  <authors>
    <author>Codex</author>
  </authors>
  <commentList>
    <comment ref="A3" authorId="0">
      <text>
        <r>
          <rPr>
            <sz val="10"/>
            <rFont val="宋体"/>
            <charset val="134"/>
          </rPr>
          <t>Source: 映射装备系统数值设计文档, 2026-07-03, 当前讨论确认口径</t>
        </r>
      </text>
    </comment>
  </commentList>
</comments>
</file>

<file path=xl/sharedStrings.xml><?xml version="1.0" encoding="utf-8"?>
<sst xmlns="http://schemas.openxmlformats.org/spreadsheetml/2006/main" count="704" uniqueCount="496">
  <si>
    <t>映射装备系统数值设计文档</t>
  </si>
  <si>
    <t>项</t>
  </si>
  <si>
    <t>内容</t>
  </si>
  <si>
    <t>功能名称</t>
  </si>
  <si>
    <t>映射装备系统</t>
  </si>
  <si>
    <t>文档类型</t>
  </si>
  <si>
    <t>策划可读 Excel 数值设计稿</t>
  </si>
  <si>
    <t>生成日期</t>
  </si>
  <si>
    <t>2026-07-03</t>
  </si>
  <si>
    <t>配置状态</t>
  </si>
  <si>
    <t>尚未修改真实配置；2026-07-06 已同步设计 Excel：合成/制作改为 8 档并追加档内等级浮动</t>
  </si>
  <si>
    <t>来源</t>
  </si>
  <si>
    <t>design/映射装备系统数值设计文档-2026-07-03.md</t>
  </si>
  <si>
    <t>设计目标</t>
  </si>
  <si>
    <t>• 装备升级移除，直接掉落固定等级装备，等级以 5 级为一档。</t>
  </si>
  <si>
    <t>• 装备副本掉落宝箱，每个宝箱开 1 件装备；制作材料不进入宝箱池。</t>
  </si>
  <si>
    <t>• 红装和金装可提前出现，但后续主要通过等级区分强度。</t>
  </si>
  <si>
    <t>• 合成提供 9 合 1 的低阶装备消耗路径。</t>
  </si>
  <si>
    <t>• 制作提供指定等级、指定部位、随机品质的定向追求。</t>
  </si>
  <si>
    <t>• 仅红装分解额外产出装备高级材料，用于红装副属性洗练。</t>
  </si>
  <si>
    <t>Sheet 说明</t>
  </si>
  <si>
    <t>Sheet</t>
  </si>
  <si>
    <t>01_系统总览</t>
  </si>
  <si>
    <t>系统循环、模块职责、基础规则</t>
  </si>
  <si>
    <t>02_主属性</t>
  </si>
  <si>
    <t>品质系数、主属性公式、倍率、部位主属性、目标值</t>
  </si>
  <si>
    <t>03_副属性</t>
  </si>
  <si>
    <t>副属性公式、倍率、目标值</t>
  </si>
  <si>
    <t>04_宝箱规则</t>
  </si>
  <si>
    <t>宝箱档位、宝箱内品质权重</t>
  </si>
  <si>
    <t>05_副本掉落</t>
  </si>
  <si>
    <t>30 层宝箱数量、宝箱档位概率、红装期望</t>
  </si>
  <si>
    <t>06_等级池</t>
  </si>
  <si>
    <t>每层装备等级池</t>
  </si>
  <si>
    <t>07_首通奖励</t>
  </si>
  <si>
    <t>每层首通返还与额外奖励</t>
  </si>
  <si>
    <t>08_合成</t>
  </si>
  <si>
    <t>9 合 1 合成规则、合成档、金币</t>
  </si>
  <si>
    <t>09_分解</t>
  </si>
  <si>
    <t>分解金币、分解材料</t>
  </si>
  <si>
    <t>10_洗练</t>
  </si>
  <si>
    <t>红装洗练规则与消耗</t>
  </si>
  <si>
    <t>11_制作</t>
  </si>
  <si>
    <t>制作规则、材料、金币、材料掉落</t>
  </si>
  <si>
    <t>12_产出验算</t>
  </si>
  <si>
    <t>常驻日常产出和体验验算</t>
  </si>
  <si>
    <t>13_配置影响</t>
  </si>
  <si>
    <t>配置落地影响与待确认项</t>
  </si>
  <si>
    <t>系统总览</t>
  </si>
  <si>
    <t>系统循环</t>
  </si>
  <si>
    <t>循环</t>
  </si>
  <si>
    <t>路径</t>
  </si>
  <si>
    <t>副本循环</t>
  </si>
  <si>
    <t>装备副本钥匙 -&gt; 装备副本 -&gt; 宝箱 + 独立制作材料掉落 -&gt; 宝箱开装备 -&gt; 穿戴 / 合成 / 分解</t>
  </si>
  <si>
    <t>洗练循环</t>
  </si>
  <si>
    <t>红装分解 -&gt; 装备高级材料 -&gt; 红装副属性洗练 / 锁词条洗练</t>
  </si>
  <si>
    <t>制作循环</t>
  </si>
  <si>
    <t>制作材料 + 金币 -&gt; 指定等级 + 指定部位 -&gt; 随机品质装备</t>
  </si>
  <si>
    <t>模块职责</t>
  </si>
  <si>
    <t>模块</t>
  </si>
  <si>
    <t>主要职责</t>
  </si>
  <si>
    <t>装备副本</t>
  </si>
  <si>
    <t>日常装备与制作材料主来源</t>
  </si>
  <si>
    <t>宝箱</t>
  </si>
  <si>
    <t>承载装备随机惊喜</t>
  </si>
  <si>
    <t>制作材料</t>
  </si>
  <si>
    <t>承载指定等级、指定部位的定向制作进度</t>
  </si>
  <si>
    <t>合成</t>
  </si>
  <si>
    <t>消耗低阶装备，向当前开放等级段推进</t>
  </si>
  <si>
    <t>分解</t>
  </si>
  <si>
    <t>回收非目标装备，提供金币；红装提供高级材料</t>
  </si>
  <si>
    <t>红装洗练</t>
  </si>
  <si>
    <t>后期红装副属性追深</t>
  </si>
  <si>
    <t>基础规则</t>
  </si>
  <si>
    <t>规则</t>
  </si>
  <si>
    <t>装备等级</t>
  </si>
  <si>
    <t>5 / 10 / 15 / 20 / 25 / 30 / 35 / 40 / 45 / 50 / 55 / 60</t>
  </si>
  <si>
    <t>品质</t>
  </si>
  <si>
    <t>绿 &lt; 蓝 &lt; 紫 &lt; 金 &lt; 红</t>
  </si>
  <si>
    <t>装备升级</t>
  </si>
  <si>
    <t>移除</t>
  </si>
  <si>
    <t>消耗专用钥匙，不支持体力兑换，支持扫荡</t>
  </si>
  <si>
    <t>副属性生成</t>
  </si>
  <si>
    <t>条数、词条池、生成权重沿用旧配置</t>
  </si>
  <si>
    <t>主属性</t>
  </si>
  <si>
    <t>主属性品质系数</t>
  </si>
  <si>
    <t>绿</t>
  </si>
  <si>
    <t>蓝</t>
  </si>
  <si>
    <t>紫</t>
  </si>
  <si>
    <t>金</t>
  </si>
  <si>
    <t>红</t>
  </si>
  <si>
    <t>主属性等级倍率</t>
  </si>
  <si>
    <t>等级</t>
  </si>
  <si>
    <t>等级倍率</t>
  </si>
  <si>
    <t>比上一档提升</t>
  </si>
  <si>
    <t>-</t>
  </si>
  <si>
    <t>主属性最终倍率</t>
  </si>
  <si>
    <t>部位主属性分配</t>
  </si>
  <si>
    <t>部位</t>
  </si>
  <si>
    <t>60级红装目标值</t>
  </si>
  <si>
    <t>说明</t>
  </si>
  <si>
    <t>武器</t>
  </si>
  <si>
    <t>攻击</t>
  </si>
  <si>
    <t>基础攻击来源</t>
  </si>
  <si>
    <t>头部</t>
  </si>
  <si>
    <t>生命</t>
  </si>
  <si>
    <t>基础生存来源</t>
  </si>
  <si>
    <t>护甲</t>
  </si>
  <si>
    <t>防御</t>
  </si>
  <si>
    <t>基础防御来源</t>
  </si>
  <si>
    <t>手套</t>
  </si>
  <si>
    <t>攻击百分比</t>
  </si>
  <si>
    <t>中后期攻击成长来源</t>
  </si>
  <si>
    <t>腰带</t>
  </si>
  <si>
    <t>生命百分比</t>
  </si>
  <si>
    <t>中后期生命成长来源</t>
  </si>
  <si>
    <t>鞋子</t>
  </si>
  <si>
    <t>防御百分比</t>
  </si>
  <si>
    <t>中后期防御成长来源</t>
  </si>
  <si>
    <t>装置</t>
  </si>
  <si>
    <t>暴击等级</t>
  </si>
  <si>
    <t>按 80% 攻击等价折算</t>
  </si>
  <si>
    <t>饰品</t>
  </si>
  <si>
    <t>爆伤等级</t>
  </si>
  <si>
    <t>关键对照</t>
  </si>
  <si>
    <t>对照</t>
  </si>
  <si>
    <t>最终倍率</t>
  </si>
  <si>
    <t>30级红装</t>
  </si>
  <si>
    <t>介于 60级蓝装和 60级紫装之间</t>
  </si>
  <si>
    <t>60级蓝装</t>
  </si>
  <si>
    <t/>
  </si>
  <si>
    <t>60级紫装</t>
  </si>
  <si>
    <t>40级红装</t>
  </si>
  <si>
    <t>低于 60级金装</t>
  </si>
  <si>
    <t>60级金装</t>
  </si>
  <si>
    <t>50级红装</t>
  </si>
  <si>
    <t>开始超过 60级金装</t>
  </si>
  <si>
    <t>60级红装</t>
  </si>
  <si>
    <t>副属性</t>
  </si>
  <si>
    <t>副属性品质系数</t>
  </si>
  <si>
    <t>副属性等级倍率</t>
  </si>
  <si>
    <t>副属性最终倍率</t>
  </si>
  <si>
    <t>60级红装副属性目标值</t>
  </si>
  <si>
    <t>60级红装单条目标值</t>
  </si>
  <si>
    <t>换算说明</t>
  </si>
  <si>
    <t>直接按 24.5% 攻击力</t>
  </si>
  <si>
    <t>与攻击百分比等价</t>
  </si>
  <si>
    <t>11,250 * 24.5%，取整</t>
  </si>
  <si>
    <t>攻击等价 * 1000 / 1500，取整</t>
  </si>
  <si>
    <t>攻击等价 * 5000 / 1500，取整</t>
  </si>
  <si>
    <t>24.5 * 90</t>
  </si>
  <si>
    <t>24.5 * 110</t>
  </si>
  <si>
    <t>能量回复等级</t>
  </si>
  <si>
    <t>技能冷却等级</t>
  </si>
  <si>
    <t>24.5 * 130</t>
  </si>
  <si>
    <t>物理伤害加成</t>
  </si>
  <si>
    <t>24.5% * 0.42</t>
  </si>
  <si>
    <t>魔法伤害加成</t>
  </si>
  <si>
    <t>宝箱规则</t>
  </si>
  <si>
    <t>可开低品质</t>
  </si>
  <si>
    <t>可开高品质</t>
  </si>
  <si>
    <t>低品质权重</t>
  </si>
  <si>
    <t>高品质权重</t>
  </si>
  <si>
    <t>绿宝箱</t>
  </si>
  <si>
    <t>绿色装备</t>
  </si>
  <si>
    <t>蓝色装备</t>
  </si>
  <si>
    <t>蓝宝箱</t>
  </si>
  <si>
    <t>紫色装备</t>
  </si>
  <si>
    <t>紫宝箱</t>
  </si>
  <si>
    <t>金色装备</t>
  </si>
  <si>
    <t>金宝箱</t>
  </si>
  <si>
    <t>红色装备</t>
  </si>
  <si>
    <t>• 红装只从金宝箱内产出。</t>
  </si>
  <si>
    <t>• 金宝箱内红装权重为 18%，不是直接红装掉率。</t>
  </si>
  <si>
    <t>• 副本高层通过提高金宝箱权重提升红装期望。</t>
  </si>
  <si>
    <t>装备副本掉落</t>
  </si>
  <si>
    <t>层</t>
  </si>
  <si>
    <t>固定宝箱</t>
  </si>
  <si>
    <t>额外宝箱概率</t>
  </si>
  <si>
    <t>期望宝箱数</t>
  </si>
  <si>
    <t>宝箱档位概率</t>
  </si>
  <si>
    <t>绿箱</t>
  </si>
  <si>
    <t>蓝箱</t>
  </si>
  <si>
    <t>紫箱</t>
  </si>
  <si>
    <t>金箱</t>
  </si>
  <si>
    <t>红装单箱期望</t>
  </si>
  <si>
    <t>装备等级池</t>
  </si>
  <si>
    <t>中心等级</t>
  </si>
  <si>
    <t>等级池</t>
  </si>
  <si>
    <t>5:75% / 10:25%</t>
  </si>
  <si>
    <t>5:25% / 10:50% / 15:25%</t>
  </si>
  <si>
    <t>10:25% / 15:50% / 20:25%</t>
  </si>
  <si>
    <t>15:25% / 20:50% / 25:25%</t>
  </si>
  <si>
    <t>20:25% / 25:50% / 30:25%</t>
  </si>
  <si>
    <t>25:25% / 30:50% / 35:25%</t>
  </si>
  <si>
    <t>30:25% / 35:50% / 40:25%</t>
  </si>
  <si>
    <t>35:25% / 40:50% / 45:25%</t>
  </si>
  <si>
    <t>40:25% / 45:50% / 50:25%</t>
  </si>
  <si>
    <t>45:25% / 50:50% / 55:25%</t>
  </si>
  <si>
    <t>50:25% / 55:50% / 60:25%</t>
  </si>
  <si>
    <t>55:25% / 60:75%</t>
  </si>
  <si>
    <t>首通奖励</t>
  </si>
  <si>
    <t>固定返还</t>
  </si>
  <si>
    <t>首通额外奖励</t>
  </si>
  <si>
    <t>装备副本钥匙 x1</t>
  </si>
  <si>
    <t>I阶防具胚料 x1</t>
  </si>
  <si>
    <t>蓝宝箱 x1</t>
  </si>
  <si>
    <t>蓝宝箱 x1 + I阶首饰胚料 x1</t>
  </si>
  <si>
    <t>I阶武器胚料 x1</t>
  </si>
  <si>
    <t>蓝宝箱 x1 + II阶武器胚料 x1</t>
  </si>
  <si>
    <t>II阶防具胚料 x1</t>
  </si>
  <si>
    <t>蓝宝箱 x2</t>
  </si>
  <si>
    <t>蓝宝箱 x1 + III阶武器胚料 x1</t>
  </si>
  <si>
    <t>III阶首饰胚料 x1</t>
  </si>
  <si>
    <t>蓝宝箱 x1 + IV阶首饰胚料 x1</t>
  </si>
  <si>
    <t>紫宝箱 x1</t>
  </si>
  <si>
    <t>紫宝箱 x1 + V阶防具胚料 x1</t>
  </si>
  <si>
    <t>V阶首饰胚料 x1</t>
  </si>
  <si>
    <t>紫宝箱 x1 + VI阶武器胚料 x1</t>
  </si>
  <si>
    <t>紫宝箱 x2</t>
  </si>
  <si>
    <t>紫宝箱 x1 + VII阶首饰胚料 x1</t>
  </si>
  <si>
    <t>VII阶武器胚料 x1</t>
  </si>
  <si>
    <t>紫宝箱 x1 + VIII阶武器胚料 x1</t>
  </si>
  <si>
    <t>紫宝箱 x1 + VIII阶防具胚料 x1</t>
  </si>
  <si>
    <t>VIII阶首饰胚料 x1</t>
  </si>
  <si>
    <t>金宝箱 x1</t>
  </si>
  <si>
    <t>紫宝箱 x2 + VIII阶防具胚料 x1</t>
  </si>
  <si>
    <t>金宝箱 x1 + VIII阶武器胚料 x1</t>
  </si>
  <si>
    <t>首通奖励总量</t>
  </si>
  <si>
    <t>类型</t>
  </si>
  <si>
    <t>总量</t>
  </si>
  <si>
    <t>装备副本钥匙</t>
  </si>
  <si>
    <t>装备合成</t>
  </si>
  <si>
    <t>材料数量</t>
  </si>
  <si>
    <t>9 件装备</t>
  </si>
  <si>
    <t>材料品质</t>
  </si>
  <si>
    <t>必须同品质</t>
  </si>
  <si>
    <t>材料部位</t>
  </si>
  <si>
    <t>不限制</t>
  </si>
  <si>
    <t>主材料</t>
  </si>
  <si>
    <t>无主材料概念</t>
  </si>
  <si>
    <t>材料等级</t>
  </si>
  <si>
    <t>按当前合成档校验投入装备等级下限</t>
  </si>
  <si>
    <t>高等级材料</t>
  </si>
  <si>
    <t>可以放入，但不提高产物等级池权重</t>
  </si>
  <si>
    <t>产物品质</t>
  </si>
  <si>
    <t>与材料品质相同</t>
  </si>
  <si>
    <t>产物等级</t>
  </si>
  <si>
    <t>当前合成档的等级池随机；首档固定 10 级</t>
  </si>
  <si>
    <t>产物部位</t>
  </si>
  <si>
    <t>8 个部位随机</t>
  </si>
  <si>
    <t>成功率</t>
  </si>
  <si>
    <t>100%</t>
  </si>
  <si>
    <t>重新随机，不继承材料装备副属性</t>
  </si>
  <si>
    <t>旧规则处理</t>
  </si>
  <si>
    <t>废弃旧 11 档；保留 8 档内低/高等级池随机</t>
  </si>
  <si>
    <t>合成等级档</t>
  </si>
  <si>
    <t>合成档</t>
  </si>
  <si>
    <t>角色等级要求</t>
  </si>
  <si>
    <t>产物等级池</t>
  </si>
  <si>
    <t>投入装备等级下限</t>
  </si>
  <si>
    <t>等级权重 / 说明</t>
  </si>
  <si>
    <t>10</t>
  </si>
  <si>
    <t>15 / 20</t>
  </si>
  <si>
    <t>70% / 30%</t>
  </si>
  <si>
    <t>25 / 30</t>
  </si>
  <si>
    <t>35 / 40</t>
  </si>
  <si>
    <t>40 / 45</t>
  </si>
  <si>
    <t>65% / 35%</t>
  </si>
  <si>
    <t>45 / 50</t>
  </si>
  <si>
    <t>50 / 55</t>
  </si>
  <si>
    <t>55 / 60</t>
  </si>
  <si>
    <t>合成金币</t>
  </si>
  <si>
    <t>计费档等级</t>
  </si>
  <si>
    <t>基础金币</t>
  </si>
  <si>
    <t>品质金币系数</t>
  </si>
  <si>
    <t>金币系数</t>
  </si>
  <si>
    <t>2026-07-06 变更说明</t>
  </si>
  <si>
    <t>合成与制作统一 8 档；本次追加档内等级浮动：合成随机等级池，制作档内等级可选。</t>
  </si>
  <si>
    <t>装备分解</t>
  </si>
  <si>
    <t>装备经验</t>
  </si>
  <si>
    <t>不产出</t>
  </si>
  <si>
    <t>金币</t>
  </si>
  <si>
    <t>产出</t>
  </si>
  <si>
    <t>装备高级材料</t>
  </si>
  <si>
    <t>仅红装分解时产出 x1</t>
  </si>
  <si>
    <t>其他品质材料</t>
  </si>
  <si>
    <t>绿、蓝、紫、金装备分解不产出材料</t>
  </si>
  <si>
    <t>分解金币</t>
  </si>
  <si>
    <t>分解金币示例</t>
  </si>
  <si>
    <t>装备</t>
  </si>
  <si>
    <t>30级紫装</t>
  </si>
  <si>
    <t>30级金装</t>
  </si>
  <si>
    <t>分解材料</t>
  </si>
  <si>
    <t>无</t>
  </si>
  <si>
    <t>装备高级材料 x1</t>
  </si>
  <si>
    <t>开放品质</t>
  </si>
  <si>
    <t>仅红装</t>
  </si>
  <si>
    <t>洗练对象</t>
  </si>
  <si>
    <t>不改变内容</t>
  </si>
  <si>
    <t>装备等级、品质、部位、主属性、红装特殊效果</t>
  </si>
  <si>
    <t>副属性条数</t>
  </si>
  <si>
    <t>沿用旧配置；红装按旧配置为 5 条副属性</t>
  </si>
  <si>
    <t>副属性词条池和权重</t>
  </si>
  <si>
    <t>沿用当前副属性词条池和生成权重</t>
  </si>
  <si>
    <t>副属性数值</t>
  </si>
  <si>
    <t>按装备等级、品质和副属性目标值重新结算</t>
  </si>
  <si>
    <t>最大锁定词条数</t>
  </si>
  <si>
    <t>2 条</t>
  </si>
  <si>
    <t>洗练结果处理</t>
  </si>
  <si>
    <t>可选择保留旧结果或替换为新结果</t>
  </si>
  <si>
    <t>洗练金币基础消耗</t>
  </si>
  <si>
    <t>装备等级段</t>
  </si>
  <si>
    <t>5-20级</t>
  </si>
  <si>
    <t>25-40级</t>
  </si>
  <si>
    <t>45-60级</t>
  </si>
  <si>
    <t>锁定词条消耗倍率</t>
  </si>
  <si>
    <t>锁定词条数</t>
  </si>
  <si>
    <t>装备高级材料消耗</t>
  </si>
  <si>
    <t>金币倍率</t>
  </si>
  <si>
    <t>全部副属性重随机</t>
  </si>
  <si>
    <t>保留 1 条副属性，重随机其余 4 条</t>
  </si>
  <si>
    <t>保留 2 条副属性，重随机其余 3 条</t>
  </si>
  <si>
    <t>洗练最终消耗</t>
  </si>
  <si>
    <t>不锁</t>
  </si>
  <si>
    <t>锁 1 条</t>
  </si>
  <si>
    <t>锁 2 条</t>
  </si>
  <si>
    <t>装备制作</t>
  </si>
  <si>
    <t>制作模式</t>
  </si>
  <si>
    <t>精准制作</t>
  </si>
  <si>
    <t>指定等级</t>
  </si>
  <si>
    <t>支持；玩家在当前制作档允许等级内选择，制作结果等级不随机</t>
  </si>
  <si>
    <t>指定部位</t>
  </si>
  <si>
    <t>支持</t>
  </si>
  <si>
    <t>指定品质</t>
  </si>
  <si>
    <t>不支持，品质随机</t>
  </si>
  <si>
    <t>材料消耗</t>
  </si>
  <si>
    <t>对应制作档、对应部位大类材料 x1</t>
  </si>
  <si>
    <t>金币消耗</t>
  </si>
  <si>
    <t>按制作档固定消耗</t>
  </si>
  <si>
    <t>废弃旧 9 档；制作材料从 27 种调整为 24 种，并保留档内低/高等级可选</t>
  </si>
  <si>
    <t>制作金币</t>
  </si>
  <si>
    <t>制作档</t>
  </si>
  <si>
    <t>可制作等级</t>
  </si>
  <si>
    <t>材料大类与制作档</t>
  </si>
  <si>
    <t>武器材料</t>
  </si>
  <si>
    <t>防具材料</t>
  </si>
  <si>
    <t>首饰材料</t>
  </si>
  <si>
    <t>单次消耗</t>
  </si>
  <si>
    <t>I阶武器胚料</t>
  </si>
  <si>
    <t>I阶防具胚料</t>
  </si>
  <si>
    <t>I阶首饰胚料</t>
  </si>
  <si>
    <t>II阶武器胚料</t>
  </si>
  <si>
    <t>II阶防具胚料</t>
  </si>
  <si>
    <t>II阶首饰胚料</t>
  </si>
  <si>
    <t>III阶武器胚料</t>
  </si>
  <si>
    <t>III阶防具胚料</t>
  </si>
  <si>
    <t>III阶首饰胚料</t>
  </si>
  <si>
    <t>IV阶武器胚料</t>
  </si>
  <si>
    <t>IV阶防具胚料</t>
  </si>
  <si>
    <t>IV阶首饰胚料</t>
  </si>
  <si>
    <t>V阶武器胚料</t>
  </si>
  <si>
    <t>V阶防具胚料</t>
  </si>
  <si>
    <t>V阶首饰胚料</t>
  </si>
  <si>
    <t>VI阶武器胚料</t>
  </si>
  <si>
    <t>VI阶防具胚料</t>
  </si>
  <si>
    <t>VI阶首饰胚料</t>
  </si>
  <si>
    <t>VII阶武器胚料</t>
  </si>
  <si>
    <t>VII阶防具胚料</t>
  </si>
  <si>
    <t>VII阶首饰胚料</t>
  </si>
  <si>
    <t>VIII阶武器胚料</t>
  </si>
  <si>
    <t>VIII阶防具胚料</t>
  </si>
  <si>
    <t>VIII阶首饰胚料</t>
  </si>
  <si>
    <t>材料掉落</t>
  </si>
  <si>
    <t>副本层</t>
  </si>
  <si>
    <t>材料掉落概率</t>
  </si>
  <si>
    <t>掉落数量</t>
  </si>
  <si>
    <t>1-30</t>
  </si>
  <si>
    <t>材料档位权重</t>
  </si>
  <si>
    <t>1-4</t>
  </si>
  <si>
    <t>I阶 80% / II阶 20%</t>
  </si>
  <si>
    <t>5-7</t>
  </si>
  <si>
    <t>I阶 20% / II阶 65% / III阶 15%</t>
  </si>
  <si>
    <t>8-10</t>
  </si>
  <si>
    <t>II阶 20% / III阶 65% / IV阶 15%</t>
  </si>
  <si>
    <t>11-13</t>
  </si>
  <si>
    <t>III阶 20% / IV阶 65% / V阶 15%</t>
  </si>
  <si>
    <t>14-16</t>
  </si>
  <si>
    <t>IV阶 20% / V阶 65% / VI阶 15%</t>
  </si>
  <si>
    <t>17-19</t>
  </si>
  <si>
    <t>V阶 20% / VI阶 65% / VII阶 15%</t>
  </si>
  <si>
    <t>20-24</t>
  </si>
  <si>
    <t>VI阶 20% / VII阶 65% / VIII阶 15%</t>
  </si>
  <si>
    <t>25-30</t>
  </si>
  <si>
    <t>VII阶 20% / VIII阶 80%</t>
  </si>
  <si>
    <t>材料类型</t>
  </si>
  <si>
    <t>掉落权重</t>
  </si>
  <si>
    <t>对应部位</t>
  </si>
  <si>
    <t>武器胚料</t>
  </si>
  <si>
    <t>防具胚料</t>
  </si>
  <si>
    <t>头部 / 护甲 / 手套 / 腰带 / 鞋子</t>
  </si>
  <si>
    <t>首饰胚料</t>
  </si>
  <si>
    <t>装置 / 饰品</t>
  </si>
  <si>
    <t>制作从 9 档调整为 8 档；档位为 10 / 20 / 30 / 40 / 45 / 50 / 55 / 60；旧第九阶材料废弃；档内可制作等级可选。</t>
  </si>
  <si>
    <t>产出体验验算</t>
  </si>
  <si>
    <t>参数</t>
  </si>
  <si>
    <t>值</t>
  </si>
  <si>
    <t>每日任务钥匙</t>
  </si>
  <si>
    <t>每周任务钥匙</t>
  </si>
  <si>
    <t>折算每日钥匙</t>
  </si>
  <si>
    <t>制作材料掉落概率</t>
  </si>
  <si>
    <t>常驻日常产出</t>
  </si>
  <si>
    <t>刷层</t>
  </si>
  <si>
    <t>期望宝箱/次</t>
  </si>
  <si>
    <t>装备/日</t>
  </si>
  <si>
    <t>绿概率</t>
  </si>
  <si>
    <t>蓝概率</t>
  </si>
  <si>
    <t>紫概率</t>
  </si>
  <si>
    <t>金概率</t>
  </si>
  <si>
    <t>红概率</t>
  </si>
  <si>
    <t>绿装/日</t>
  </si>
  <si>
    <t>蓝装/日</t>
  </si>
  <si>
    <t>紫装/日</t>
  </si>
  <si>
    <t>金装/日</t>
  </si>
  <si>
    <t>红装/日</t>
  </si>
  <si>
    <t>材料/日</t>
  </si>
  <si>
    <t>等级基础金币期望</t>
  </si>
  <si>
    <t>加权金币系数</t>
  </si>
  <si>
    <t>全分解金币上限/日</t>
  </si>
  <si>
    <t>拆装金币参考</t>
  </si>
  <si>
    <t>只拆绿蓝金币/日</t>
  </si>
  <si>
    <t>拆绿蓝紫金币/日</t>
  </si>
  <si>
    <t>拆金红金币/日</t>
  </si>
  <si>
    <t>体验判断</t>
  </si>
  <si>
    <t>维度</t>
  </si>
  <si>
    <t>判断</t>
  </si>
  <si>
    <t>掉装爽感</t>
  </si>
  <si>
    <t>高层日常装备数量较高，第 30 层约 47 件/日，刷装体验足够爽</t>
  </si>
  <si>
    <t>红装频率</t>
  </si>
  <si>
    <t>第 30 层约 1.95 件/日，红装不是极稀有大奖，而是后期可持续追深资源</t>
  </si>
  <si>
    <t>制作节奏</t>
  </si>
  <si>
    <t>常驻约 1.57 个制作材料/日，精准制作不会过快毕业</t>
  </si>
  <si>
    <t>洗练节奏</t>
  </si>
  <si>
    <t>洗练瓶颈主要是红装分解材料，而不是金币</t>
  </si>
  <si>
    <t>金币风险</t>
  </si>
  <si>
    <t>分解金币已压低高层收益，但大量拆紫/金仍会形成明显金币来源，需要结合全局金币复核</t>
  </si>
  <si>
    <t>配置影响与待确认项</t>
  </si>
  <si>
    <t>配置方向</t>
  </si>
  <si>
    <t>影响</t>
  </si>
  <si>
    <t>SpecialEquipmentLvUp.xlsx</t>
  </si>
  <si>
    <t>旧装备升级逻辑应废弃或不再被新系统引用</t>
  </si>
  <si>
    <t>SpecialEquipmentQuality.xlsx</t>
  </si>
  <si>
    <t>新增绿色品质，调整主属性/副属性品质系数、分解收益字段</t>
  </si>
  <si>
    <t>SpecialEquipmentGenerate.xlsx</t>
  </si>
  <si>
    <t>支持装备生成等级、等级池或等级权重；合成按等级池随机，制作按档内等级可选</t>
  </si>
  <si>
    <t>Drop_dungeon.xlsx</t>
  </si>
  <si>
    <t>装备副本主掉落改为宝箱掉落；制作材料为副本独立掉落</t>
  </si>
  <si>
    <t>UIlevel.xlsx</t>
  </si>
  <si>
    <t>装备副本 30 层预览展示宝箱与可能材料，不直接展示旧装备经验道具</t>
  </si>
  <si>
    <t>宝箱相关配置</t>
  </si>
  <si>
    <t>表达 4 档宝箱、宝箱内装备品质权重和等级池；制作材料不进入宝箱池</t>
  </si>
  <si>
    <t>首通奖励配置</t>
  </si>
  <si>
    <t>每层钥匙返还，额外奖励仅投放宝箱/制作材料，不投放金币/绿宝箱/装备高级材料</t>
  </si>
  <si>
    <t>装备副本钥匙配置</t>
  </si>
  <si>
    <t>装备副本专用钥匙、每日任务 5 把、每周任务 20 把、不支持体力兑换和扫荡消耗</t>
  </si>
  <si>
    <t>装备合成相关配置</t>
  </si>
  <si>
    <t>合成档、角色等级要求、产物等级池、等级权重、投入等级下限、金币消耗和品质金币系数；2026-07-06 改为 8 档并追加档内浮动</t>
  </si>
  <si>
    <t>装备分解相关配置</t>
  </si>
  <si>
    <t>分解等级基础金币、品质金币系数、仅红装产出装备高级材料</t>
  </si>
  <si>
    <t>装备制作相关配置</t>
  </si>
  <si>
    <t>制作档、档内可制作等级、部位大类材料、金币消耗、制作品质权重和制作材料独立掉落；2026-07-06 改为 8 档、制作材料 24 种</t>
  </si>
  <si>
    <t>红装洗练相关配置</t>
  </si>
  <si>
    <t>装备高级材料用途、洗练开放品质、锁定词条上限、材料/金币消耗和保留旧结果规则</t>
  </si>
  <si>
    <t>待确认项</t>
  </si>
  <si>
    <t>当前建议</t>
  </si>
  <si>
    <t>装备部位掉落权重</t>
  </si>
  <si>
    <t>宝箱开装备和合成产物部位先按 8 部位均分；如要区分大类，需要另开一版权重</t>
  </si>
  <si>
    <t>副本开放节奏</t>
  </si>
  <si>
    <t>确认 30 层按角色等级、主线进度、战力，还是上一层通关解锁</t>
  </si>
  <si>
    <t>洗练重复词条规则</t>
  </si>
  <si>
    <t>确认副属性是否允许重复词条，锁定词条后重随机是否可再出同类词条</t>
  </si>
  <si>
    <t>ItemId 规划</t>
  </si>
  <si>
    <t>为 4 档宝箱、24 种制作材料、装备高级材料规划道具 ID</t>
  </si>
  <si>
    <t>DropId 拆分方式</t>
  </si>
  <si>
    <t>确认固定宝箱、额外宝箱概率、制作材料独立掉落、首通奖励的 DropId 表达方式</t>
  </si>
  <si>
    <t>UI 预览</t>
  </si>
  <si>
    <t>确认 UIlevel 预览展示宝箱、制作材料、钥匙返还的展示规则</t>
  </si>
  <si>
    <t>全局金币经济</t>
  </si>
  <si>
    <t>结合金币主产出、其他消耗系统和玩家日常总金币检查分解金币是否仍偏高</t>
  </si>
  <si>
    <t>2026-07-06 变更记录</t>
  </si>
  <si>
    <t>合成/制作档位</t>
  </si>
  <si>
    <t>统一为 8 档：10 / 20 / 30 / 40 / 45 / 50 / 55 / 60；合成有等级池，制作档内等级可选</t>
  </si>
  <si>
    <t>材料档位</t>
  </si>
  <si>
    <t>制作材料从旧 9 阶压缩为 I-VIII 阶，共 24 种</t>
  </si>
  <si>
    <t>配置影响</t>
  </si>
  <si>
    <t>后续真实配置需要同步 Craft.xlsx、SpecialEquipmentGenerate.xlsx、Drop_dungeon.xlsx、UIlevel.xlsx 的等级池、材料与预览引用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</si>
</sst>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30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b/>
      <sz val="10"/>
      <color rgb="FFFFFFFF"/>
      <name val="Microsoft YaHei"/>
      <charset val="134"/>
    </font>
    <font>
      <sz val="10"/>
      <color rgb="FF000000"/>
      <name val="Microsoft YaHei"/>
      <charset val="134"/>
    </font>
    <font>
      <b/>
      <sz val="12"/>
      <color rgb="FF000000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sz val="10"/>
      <color rgb="FF0000FF"/>
      <name val="Microsoft YaHei"/>
      <charset val="134"/>
    </font>
    <font>
      <b/>
      <sz val="14"/>
      <color rgb="FFFFFFFF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6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7" borderId="7">
      <alignment vertical="center"/>
    </xf>
    <xf numFmtId="0" fontId="19" fillId="8" borderId="8">
      <alignment vertical="center"/>
    </xf>
    <xf numFmtId="0" fontId="20" fillId="8" borderId="7">
      <alignment vertical="center"/>
    </xf>
    <xf numFmtId="0" fontId="21" fillId="9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10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10" fontId="7" fillId="0" borderId="1" xfId="0" applyNumberFormat="1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176" fontId="7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showGridLines="0" workbookViewId="0">
      <pane ySplit="1" topLeftCell="A16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22" customWidth="1"/>
    <col min="2" max="2" width="80" customWidth="1"/>
    <col min="3" max="8" width="13" customWidth="1"/>
  </cols>
  <sheetData>
    <row r="1" ht="22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22" customHeight="1"/>
    <row r="3" ht="22" customHeight="1" spans="1:8">
      <c r="A3" s="4" t="s">
        <v>1</v>
      </c>
      <c r="B3" s="4" t="s">
        <v>2</v>
      </c>
    </row>
    <row r="4" ht="22" customHeight="1" spans="1:8">
      <c r="A4" s="5" t="s">
        <v>3</v>
      </c>
      <c r="B4" s="5" t="s">
        <v>4</v>
      </c>
    </row>
    <row r="5" ht="22" customHeight="1" spans="1:8">
      <c r="A5" s="5" t="s">
        <v>5</v>
      </c>
      <c r="B5" s="5" t="s">
        <v>6</v>
      </c>
    </row>
    <row r="6" ht="22" customHeight="1" spans="1:8">
      <c r="A6" s="5" t="s">
        <v>7</v>
      </c>
      <c r="B6" s="5" t="s">
        <v>8</v>
      </c>
    </row>
    <row r="7" ht="22" customHeight="1" spans="1:8">
      <c r="A7" s="5" t="s">
        <v>9</v>
      </c>
      <c r="B7" s="5" t="s">
        <v>10</v>
      </c>
    </row>
    <row r="8" ht="22" customHeight="1" spans="1:8">
      <c r="A8" s="5" t="s">
        <v>11</v>
      </c>
      <c r="B8" s="5" t="s">
        <v>12</v>
      </c>
    </row>
    <row r="9" ht="22" customHeight="1"/>
    <row r="10" ht="22" customHeight="1" spans="1:8">
      <c r="A10" s="6" t="s">
        <v>13</v>
      </c>
      <c r="B10" s="2"/>
      <c r="C10" s="2"/>
      <c r="D10" s="2"/>
      <c r="E10" s="2"/>
      <c r="F10" s="2"/>
      <c r="G10" s="2"/>
      <c r="H10" s="3"/>
    </row>
    <row r="11" ht="22" customHeight="1" spans="1:8">
      <c r="A11" s="5" t="s">
        <v>14</v>
      </c>
      <c r="B11" s="2"/>
      <c r="C11" s="2"/>
      <c r="D11" s="2"/>
      <c r="E11" s="2"/>
      <c r="F11" s="2"/>
      <c r="G11" s="2"/>
      <c r="H11" s="3"/>
    </row>
    <row r="12" ht="22" customHeight="1" spans="1:8">
      <c r="A12" s="5" t="s">
        <v>15</v>
      </c>
      <c r="B12" s="2"/>
      <c r="C12" s="2"/>
      <c r="D12" s="2"/>
      <c r="E12" s="2"/>
      <c r="F12" s="2"/>
      <c r="G12" s="2"/>
      <c r="H12" s="3"/>
    </row>
    <row r="13" ht="22" customHeight="1" spans="1:8">
      <c r="A13" s="5" t="s">
        <v>16</v>
      </c>
      <c r="B13" s="2"/>
      <c r="C13" s="2"/>
      <c r="D13" s="2"/>
      <c r="E13" s="2"/>
      <c r="F13" s="2"/>
      <c r="G13" s="2"/>
      <c r="H13" s="3"/>
    </row>
    <row r="14" ht="22" customHeight="1" spans="1:8">
      <c r="A14" s="5" t="s">
        <v>17</v>
      </c>
      <c r="B14" s="2"/>
      <c r="C14" s="2"/>
      <c r="D14" s="2"/>
      <c r="E14" s="2"/>
      <c r="F14" s="2"/>
      <c r="G14" s="2"/>
      <c r="H14" s="3"/>
    </row>
    <row r="15" ht="22" customHeight="1" spans="1:8">
      <c r="A15" s="5" t="s">
        <v>18</v>
      </c>
      <c r="B15" s="2"/>
      <c r="C15" s="2"/>
      <c r="D15" s="2"/>
      <c r="E15" s="2"/>
      <c r="F15" s="2"/>
      <c r="G15" s="2"/>
      <c r="H15" s="3"/>
    </row>
    <row r="16" ht="22" customHeight="1" spans="1:8">
      <c r="A16" s="5" t="s">
        <v>19</v>
      </c>
      <c r="B16" s="2"/>
      <c r="C16" s="2"/>
      <c r="D16" s="2"/>
      <c r="E16" s="2"/>
      <c r="F16" s="2"/>
      <c r="G16" s="2"/>
      <c r="H16" s="3"/>
    </row>
    <row r="17" ht="22" customHeight="1"/>
    <row r="18" ht="22" customHeight="1" spans="1:8">
      <c r="A18" s="6" t="s">
        <v>20</v>
      </c>
      <c r="B18" s="2"/>
      <c r="C18" s="2"/>
      <c r="D18" s="2"/>
      <c r="E18" s="2"/>
      <c r="F18" s="2"/>
      <c r="G18" s="2"/>
      <c r="H18" s="3"/>
    </row>
    <row r="19" ht="22" customHeight="1" spans="1:8">
      <c r="A19" s="4" t="s">
        <v>21</v>
      </c>
      <c r="B19" s="4" t="s">
        <v>2</v>
      </c>
    </row>
    <row r="20" ht="22" customHeight="1" spans="1:8">
      <c r="A20" s="5" t="s">
        <v>22</v>
      </c>
      <c r="B20" s="5" t="s">
        <v>23</v>
      </c>
    </row>
    <row r="21" ht="22" customHeight="1" spans="1:8">
      <c r="A21" s="5" t="s">
        <v>24</v>
      </c>
      <c r="B21" s="5" t="s">
        <v>25</v>
      </c>
    </row>
    <row r="22" ht="22" customHeight="1" spans="1:8">
      <c r="A22" s="5" t="s">
        <v>26</v>
      </c>
      <c r="B22" s="5" t="s">
        <v>27</v>
      </c>
    </row>
    <row r="23" ht="22" customHeight="1" spans="1:8">
      <c r="A23" s="5" t="s">
        <v>28</v>
      </c>
      <c r="B23" s="5" t="s">
        <v>29</v>
      </c>
    </row>
    <row r="24" ht="22" customHeight="1" spans="1:8">
      <c r="A24" s="5" t="s">
        <v>30</v>
      </c>
      <c r="B24" s="5" t="s">
        <v>31</v>
      </c>
    </row>
    <row r="25" ht="22" customHeight="1" spans="1:8">
      <c r="A25" s="5" t="s">
        <v>32</v>
      </c>
      <c r="B25" s="5" t="s">
        <v>33</v>
      </c>
    </row>
    <row r="26" ht="22" customHeight="1" spans="1:8">
      <c r="A26" s="5" t="s">
        <v>34</v>
      </c>
      <c r="B26" s="5" t="s">
        <v>35</v>
      </c>
    </row>
    <row r="27" ht="22" customHeight="1" spans="1:8">
      <c r="A27" s="5" t="s">
        <v>36</v>
      </c>
      <c r="B27" s="5" t="s">
        <v>37</v>
      </c>
    </row>
    <row r="28" ht="22" customHeight="1" spans="1:8">
      <c r="A28" s="5" t="s">
        <v>38</v>
      </c>
      <c r="B28" s="5" t="s">
        <v>39</v>
      </c>
    </row>
    <row r="29" ht="22" customHeight="1" spans="1:8">
      <c r="A29" s="5" t="s">
        <v>40</v>
      </c>
      <c r="B29" s="5" t="s">
        <v>41</v>
      </c>
    </row>
    <row r="30" ht="22" customHeight="1" spans="1:8">
      <c r="A30" s="5" t="s">
        <v>42</v>
      </c>
      <c r="B30" s="5" t="s">
        <v>43</v>
      </c>
    </row>
    <row r="31" ht="22" customHeight="1" spans="1:8">
      <c r="A31" s="5" t="s">
        <v>44</v>
      </c>
      <c r="B31" s="5" t="s">
        <v>45</v>
      </c>
    </row>
    <row r="32" ht="22" customHeight="1" spans="1:8">
      <c r="A32" s="5" t="s">
        <v>46</v>
      </c>
      <c r="B32" s="5" t="s">
        <v>47</v>
      </c>
    </row>
  </sheetData>
  <mergeCells count="9">
    <mergeCell ref="A1:H1"/>
    <mergeCell ref="A10:H10"/>
    <mergeCell ref="A11:H11"/>
    <mergeCell ref="A12:H12"/>
    <mergeCell ref="A13:H13"/>
    <mergeCell ref="A14:H14"/>
    <mergeCell ref="A15:H15"/>
    <mergeCell ref="A16:H16"/>
    <mergeCell ref="A18:H18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pane ySplit="1" topLeftCell="A2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18" customWidth="1"/>
    <col min="2" max="2" width="95" customWidth="1"/>
    <col min="3" max="8" width="13" customWidth="1"/>
  </cols>
  <sheetData>
    <row r="1" ht="22" customHeight="1" spans="1:8">
      <c r="A1" s="1" t="s">
        <v>48</v>
      </c>
      <c r="B1" s="2"/>
      <c r="C1" s="2"/>
      <c r="D1" s="2"/>
      <c r="E1" s="2"/>
      <c r="F1" s="2"/>
      <c r="G1" s="2"/>
      <c r="H1" s="3"/>
    </row>
    <row r="2" ht="22" customHeight="1"/>
    <row r="3" ht="22" customHeight="1" spans="1:8">
      <c r="A3" s="6" t="s">
        <v>49</v>
      </c>
      <c r="B3" s="2"/>
      <c r="C3" s="2"/>
      <c r="D3" s="2"/>
      <c r="E3" s="2"/>
      <c r="F3" s="2"/>
      <c r="G3" s="2"/>
      <c r="H3" s="3"/>
    </row>
    <row r="4" ht="22" customHeight="1" spans="1:8">
      <c r="A4" s="4" t="s">
        <v>50</v>
      </c>
      <c r="B4" s="4" t="s">
        <v>51</v>
      </c>
    </row>
    <row r="5" ht="22" customHeight="1" spans="1:8">
      <c r="A5" s="5" t="s">
        <v>52</v>
      </c>
      <c r="B5" s="5" t="s">
        <v>53</v>
      </c>
    </row>
    <row r="6" ht="22" customHeight="1" spans="1:8">
      <c r="A6" s="5" t="s">
        <v>54</v>
      </c>
      <c r="B6" s="5" t="s">
        <v>55</v>
      </c>
    </row>
    <row r="7" ht="22" customHeight="1" spans="1:8">
      <c r="A7" s="5" t="s">
        <v>56</v>
      </c>
      <c r="B7" s="5" t="s">
        <v>57</v>
      </c>
    </row>
    <row r="8" ht="22" customHeight="1"/>
    <row r="9" ht="22" customHeight="1" spans="1:8">
      <c r="A9" s="6" t="s">
        <v>58</v>
      </c>
      <c r="B9" s="2"/>
      <c r="C9" s="2"/>
      <c r="D9" s="2"/>
      <c r="E9" s="2"/>
      <c r="F9" s="2"/>
      <c r="G9" s="2"/>
      <c r="H9" s="3"/>
    </row>
    <row r="10" ht="22" customHeight="1" spans="1:8">
      <c r="A10" s="4" t="s">
        <v>59</v>
      </c>
      <c r="B10" s="4" t="s">
        <v>60</v>
      </c>
    </row>
    <row r="11" ht="22" customHeight="1" spans="1:8">
      <c r="A11" s="5" t="s">
        <v>61</v>
      </c>
      <c r="B11" s="5" t="s">
        <v>62</v>
      </c>
    </row>
    <row r="12" ht="22" customHeight="1" spans="1:8">
      <c r="A12" s="5" t="s">
        <v>63</v>
      </c>
      <c r="B12" s="5" t="s">
        <v>64</v>
      </c>
    </row>
    <row r="13" ht="22" customHeight="1" spans="1:8">
      <c r="A13" s="5" t="s">
        <v>65</v>
      </c>
      <c r="B13" s="5" t="s">
        <v>66</v>
      </c>
    </row>
    <row r="14" ht="22" customHeight="1" spans="1:8">
      <c r="A14" s="5" t="s">
        <v>67</v>
      </c>
      <c r="B14" s="5" t="s">
        <v>68</v>
      </c>
    </row>
    <row r="15" ht="22" customHeight="1" spans="1:8">
      <c r="A15" s="5" t="s">
        <v>69</v>
      </c>
      <c r="B15" s="5" t="s">
        <v>70</v>
      </c>
    </row>
    <row r="16" ht="22" customHeight="1" spans="1:8">
      <c r="A16" s="5" t="s">
        <v>71</v>
      </c>
      <c r="B16" s="5" t="s">
        <v>72</v>
      </c>
    </row>
    <row r="17" ht="22" customHeight="1"/>
    <row r="18" ht="22" customHeight="1" spans="1:8">
      <c r="A18" s="6" t="s">
        <v>73</v>
      </c>
      <c r="B18" s="2"/>
      <c r="C18" s="2"/>
      <c r="D18" s="2"/>
      <c r="E18" s="2"/>
      <c r="F18" s="2"/>
      <c r="G18" s="2"/>
      <c r="H18" s="3"/>
    </row>
    <row r="19" ht="22" customHeight="1" spans="1:8">
      <c r="A19" s="4" t="s">
        <v>1</v>
      </c>
      <c r="B19" s="4" t="s">
        <v>74</v>
      </c>
    </row>
    <row r="20" ht="22" customHeight="1" spans="1:8">
      <c r="A20" s="5" t="s">
        <v>75</v>
      </c>
      <c r="B20" s="5" t="s">
        <v>76</v>
      </c>
    </row>
    <row r="21" ht="22" customHeight="1" spans="1:8">
      <c r="A21" s="5" t="s">
        <v>77</v>
      </c>
      <c r="B21" s="5" t="s">
        <v>78</v>
      </c>
    </row>
    <row r="22" ht="22" customHeight="1" spans="1:8">
      <c r="A22" s="5" t="s">
        <v>79</v>
      </c>
      <c r="B22" s="5" t="s">
        <v>80</v>
      </c>
    </row>
    <row r="23" ht="22" customHeight="1" spans="1:8">
      <c r="A23" s="5" t="s">
        <v>61</v>
      </c>
      <c r="B23" s="5" t="s">
        <v>81</v>
      </c>
    </row>
    <row r="24" ht="22" customHeight="1" spans="1:8">
      <c r="A24" s="5" t="s">
        <v>82</v>
      </c>
      <c r="B24" s="5" t="s">
        <v>83</v>
      </c>
    </row>
  </sheetData>
  <mergeCells count="4">
    <mergeCell ref="A1:H1"/>
    <mergeCell ref="A3:H3"/>
    <mergeCell ref="A9:H9"/>
    <mergeCell ref="A18:H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showGridLines="0" workbookViewId="0">
      <pane ySplit="1" topLeftCell="A42" activePane="bottomLeft" state="frozen"/>
      <selection/>
      <selection pane="bottomLeft" activeCell="C71" sqref="C71"/>
    </sheetView>
  </sheetViews>
  <sheetFormatPr defaultColWidth="9" defaultRowHeight="13.5"/>
  <cols>
    <col min="1" max="1" width="18" customWidth="1"/>
    <col min="2" max="2" width="16" customWidth="1"/>
    <col min="3" max="3" width="42" customWidth="1"/>
    <col min="4" max="4" width="36" customWidth="1"/>
    <col min="5" max="6" width="10" customWidth="1"/>
    <col min="7" max="10" width="13" customWidth="1"/>
  </cols>
  <sheetData>
    <row r="1" ht="22" customHeight="1" spans="1:10">
      <c r="A1" s="1" t="s">
        <v>84</v>
      </c>
      <c r="B1" s="2"/>
      <c r="C1" s="2"/>
      <c r="D1" s="2"/>
      <c r="E1" s="2"/>
      <c r="F1" s="2"/>
      <c r="G1" s="2"/>
      <c r="H1" s="2"/>
      <c r="I1" s="2"/>
      <c r="J1" s="3"/>
    </row>
    <row r="2" ht="22" customHeight="1"/>
    <row r="3" ht="22" customHeight="1" spans="1:10">
      <c r="A3" s="4" t="s">
        <v>77</v>
      </c>
      <c r="B3" s="4" t="s">
        <v>85</v>
      </c>
    </row>
    <row r="4" ht="22" customHeight="1" spans="1:10">
      <c r="A4" s="5" t="s">
        <v>86</v>
      </c>
      <c r="B4" s="11">
        <v>0.2</v>
      </c>
    </row>
    <row r="5" ht="22" customHeight="1" spans="1:10">
      <c r="A5" s="5" t="s">
        <v>87</v>
      </c>
      <c r="B5" s="11">
        <v>0.3</v>
      </c>
    </row>
    <row r="6" ht="22" customHeight="1" spans="1:10">
      <c r="A6" s="5" t="s">
        <v>88</v>
      </c>
      <c r="B6" s="11">
        <v>0.45</v>
      </c>
    </row>
    <row r="7" ht="22" customHeight="1" spans="1:10">
      <c r="A7" s="5" t="s">
        <v>89</v>
      </c>
      <c r="B7" s="11">
        <v>0.7</v>
      </c>
    </row>
    <row r="8" ht="22" customHeight="1" spans="1:10">
      <c r="A8" s="5" t="s">
        <v>90</v>
      </c>
      <c r="B8" s="23">
        <v>1</v>
      </c>
    </row>
    <row r="9" ht="22" customHeight="1"/>
    <row r="10" ht="22" customHeight="1" spans="1:10">
      <c r="A10" s="6" t="s">
        <v>91</v>
      </c>
      <c r="B10" s="2"/>
      <c r="C10" s="2"/>
      <c r="D10" s="2"/>
      <c r="E10" s="2"/>
      <c r="F10" s="2"/>
      <c r="G10" s="2"/>
      <c r="H10" s="2"/>
      <c r="I10" s="2"/>
      <c r="J10" s="3"/>
    </row>
    <row r="11" ht="22" customHeight="1" spans="1:10">
      <c r="A11" s="4" t="s">
        <v>92</v>
      </c>
      <c r="B11" s="4" t="s">
        <v>93</v>
      </c>
      <c r="C11" s="4" t="s">
        <v>94</v>
      </c>
    </row>
    <row r="12" ht="22" customHeight="1" spans="1:10">
      <c r="A12" s="12">
        <v>5</v>
      </c>
      <c r="B12" s="25">
        <f t="shared" ref="B12:B23" si="0">0.05+0.95*((A12-5)/55)^1.35</f>
        <v>0.05</v>
      </c>
      <c r="C12" s="25" t="s">
        <v>95</v>
      </c>
    </row>
    <row r="13" ht="22" customHeight="1" spans="1:10">
      <c r="A13" s="12">
        <v>10</v>
      </c>
      <c r="B13" s="25">
        <f t="shared" si="0"/>
        <v>0.0873115662724887</v>
      </c>
      <c r="C13" s="25">
        <f t="shared" ref="C13:C23" si="1">B13-B12</f>
        <v>0.0373115662724887</v>
      </c>
    </row>
    <row r="14" ht="22" customHeight="1" spans="1:10">
      <c r="A14" s="12">
        <v>15</v>
      </c>
      <c r="B14" s="25">
        <f t="shared" si="0"/>
        <v>0.145111706629055</v>
      </c>
      <c r="C14" s="25">
        <f t="shared" si="1"/>
        <v>0.0578001403565661</v>
      </c>
    </row>
    <row r="15" ht="22" customHeight="1" spans="1:10">
      <c r="A15" s="12">
        <v>20</v>
      </c>
      <c r="B15" s="25">
        <f t="shared" si="0"/>
        <v>0.214420957962173</v>
      </c>
      <c r="C15" s="25">
        <f t="shared" si="1"/>
        <v>0.0693092513331182</v>
      </c>
    </row>
    <row r="16" ht="22" customHeight="1" spans="1:10">
      <c r="A16" s="12">
        <v>25</v>
      </c>
      <c r="B16" s="25">
        <f t="shared" si="0"/>
        <v>0.292451272933067</v>
      </c>
      <c r="C16" s="25">
        <f t="shared" si="1"/>
        <v>0.0780303149708945</v>
      </c>
    </row>
    <row r="17" ht="22" customHeight="1" spans="1:10">
      <c r="A17" s="12">
        <v>30</v>
      </c>
      <c r="B17" s="25">
        <f t="shared" si="0"/>
        <v>0.377682302186754</v>
      </c>
      <c r="C17" s="25">
        <f t="shared" si="1"/>
        <v>0.0852310292536869</v>
      </c>
    </row>
    <row r="18" ht="22" customHeight="1" spans="1:10">
      <c r="A18" s="12">
        <v>35</v>
      </c>
      <c r="B18" s="25">
        <f t="shared" si="0"/>
        <v>0.469128958649402</v>
      </c>
      <c r="C18" s="25">
        <f t="shared" si="1"/>
        <v>0.091446656462648</v>
      </c>
    </row>
    <row r="19" ht="22" customHeight="1" spans="1:10">
      <c r="A19" s="12">
        <v>40</v>
      </c>
      <c r="B19" s="25">
        <f t="shared" si="0"/>
        <v>0.566090463791919</v>
      </c>
      <c r="C19" s="25">
        <f t="shared" si="1"/>
        <v>0.0969615051425171</v>
      </c>
    </row>
    <row r="20" ht="22" customHeight="1" spans="1:10">
      <c r="A20" s="12">
        <v>45</v>
      </c>
      <c r="B20" s="25">
        <f t="shared" si="0"/>
        <v>0.668037693047848</v>
      </c>
      <c r="C20" s="25">
        <f t="shared" si="1"/>
        <v>0.101947229255929</v>
      </c>
    </row>
    <row r="21" ht="22" customHeight="1" spans="1:10">
      <c r="A21" s="12">
        <v>50</v>
      </c>
      <c r="B21" s="25">
        <f t="shared" si="0"/>
        <v>0.774554183004965</v>
      </c>
      <c r="C21" s="25">
        <f t="shared" si="1"/>
        <v>0.106516489957117</v>
      </c>
    </row>
    <row r="22" ht="22" customHeight="1" spans="1:10">
      <c r="A22" s="12">
        <v>55</v>
      </c>
      <c r="B22" s="25">
        <f t="shared" si="0"/>
        <v>0.88530192127314</v>
      </c>
      <c r="C22" s="25">
        <f t="shared" si="1"/>
        <v>0.110747738268175</v>
      </c>
    </row>
    <row r="23" ht="22" customHeight="1" spans="1:10">
      <c r="A23" s="12">
        <v>60</v>
      </c>
      <c r="B23" s="25">
        <f t="shared" si="0"/>
        <v>1</v>
      </c>
      <c r="C23" s="25">
        <f t="shared" si="1"/>
        <v>0.11469807872686</v>
      </c>
    </row>
    <row r="24" ht="22" customHeight="1"/>
    <row r="25" ht="22" customHeight="1"/>
    <row r="26" ht="22" customHeight="1" spans="1:10">
      <c r="A26" s="6" t="s">
        <v>96</v>
      </c>
      <c r="B26" s="2"/>
      <c r="C26" s="2"/>
      <c r="D26" s="2"/>
      <c r="E26" s="2"/>
      <c r="F26" s="2"/>
      <c r="G26" s="2"/>
      <c r="H26" s="2"/>
      <c r="I26" s="2"/>
      <c r="J26" s="3"/>
    </row>
    <row r="27" ht="22" customHeight="1" spans="1:10">
      <c r="A27" s="4" t="s">
        <v>92</v>
      </c>
      <c r="B27" s="4" t="s">
        <v>86</v>
      </c>
      <c r="C27" s="4" t="s">
        <v>87</v>
      </c>
      <c r="D27" s="4" t="s">
        <v>88</v>
      </c>
      <c r="E27" s="4" t="s">
        <v>89</v>
      </c>
      <c r="F27" s="4" t="s">
        <v>90</v>
      </c>
    </row>
    <row r="28" ht="22" customHeight="1" spans="1:10">
      <c r="A28" s="12">
        <v>5</v>
      </c>
      <c r="B28" s="25">
        <f>$B$12*$B$4</f>
        <v>0.01</v>
      </c>
      <c r="C28" s="25">
        <f>$B$12*$B$5</f>
        <v>0.015</v>
      </c>
      <c r="D28" s="25">
        <f>$B$12*$B$6</f>
        <v>0.0225</v>
      </c>
      <c r="E28" s="25">
        <f>$B$12*$B$7</f>
        <v>0.035</v>
      </c>
      <c r="F28" s="25">
        <f>$B$12*$B$8</f>
        <v>0.05</v>
      </c>
    </row>
    <row r="29" ht="22" customHeight="1" spans="1:10">
      <c r="A29" s="12">
        <v>10</v>
      </c>
      <c r="B29" s="25">
        <f>$B$13*$B$4</f>
        <v>0.0174623132544977</v>
      </c>
      <c r="C29" s="25">
        <f>$B$13*$B$5</f>
        <v>0.0261934698817466</v>
      </c>
      <c r="D29" s="25">
        <f>$B$13*$B$6</f>
        <v>0.0392902048226199</v>
      </c>
      <c r="E29" s="25">
        <f>$B$13*$B$7</f>
        <v>0.0611180963907421</v>
      </c>
      <c r="F29" s="25">
        <f>$B$13*$B$8</f>
        <v>0.0873115662724887</v>
      </c>
    </row>
    <row r="30" ht="22" customHeight="1" spans="1:10">
      <c r="A30" s="12">
        <v>15</v>
      </c>
      <c r="B30" s="25">
        <f>$B$14*$B$4</f>
        <v>0.029022341325811</v>
      </c>
      <c r="C30" s="25">
        <f>$B$14*$B$5</f>
        <v>0.0435335119887164</v>
      </c>
      <c r="D30" s="25">
        <f>$B$14*$B$6</f>
        <v>0.0653002679830747</v>
      </c>
      <c r="E30" s="25">
        <f>$B$14*$B$7</f>
        <v>0.101578194640338</v>
      </c>
      <c r="F30" s="25">
        <f>$B$14*$B$8</f>
        <v>0.145111706629055</v>
      </c>
    </row>
    <row r="31" ht="22" customHeight="1" spans="1:10">
      <c r="A31" s="12">
        <v>20</v>
      </c>
      <c r="B31" s="25">
        <f>$B$15*$B$4</f>
        <v>0.0428841915924346</v>
      </c>
      <c r="C31" s="25">
        <f>$B$15*$B$5</f>
        <v>0.0643262873886519</v>
      </c>
      <c r="D31" s="25">
        <f>$B$15*$B$6</f>
        <v>0.0964894310829778</v>
      </c>
      <c r="E31" s="25">
        <f>$B$15*$B$7</f>
        <v>0.150094670573521</v>
      </c>
      <c r="F31" s="25">
        <f>$B$15*$B$8</f>
        <v>0.214420957962173</v>
      </c>
    </row>
    <row r="32" ht="22" customHeight="1" spans="1:10">
      <c r="A32" s="12">
        <v>25</v>
      </c>
      <c r="B32" s="25">
        <f>$B$16*$B$4</f>
        <v>0.0584902545866135</v>
      </c>
      <c r="C32" s="25">
        <f>$B$16*$B$5</f>
        <v>0.0877353818799202</v>
      </c>
      <c r="D32" s="25">
        <f>$B$16*$B$6</f>
        <v>0.13160307281988</v>
      </c>
      <c r="E32" s="25">
        <f>$B$16*$B$7</f>
        <v>0.204715891053147</v>
      </c>
      <c r="F32" s="25">
        <f>$B$16*$B$8</f>
        <v>0.292451272933067</v>
      </c>
    </row>
    <row r="33" ht="22" customHeight="1" spans="1:10">
      <c r="A33" s="12">
        <v>30</v>
      </c>
      <c r="B33" s="25">
        <f>$B$17*$B$4</f>
        <v>0.0755364604373509</v>
      </c>
      <c r="C33" s="25">
        <f>$B$17*$B$5</f>
        <v>0.113304690656026</v>
      </c>
      <c r="D33" s="25">
        <f>$B$17*$B$6</f>
        <v>0.169957035984039</v>
      </c>
      <c r="E33" s="25">
        <f>$B$17*$B$7</f>
        <v>0.264377611530728</v>
      </c>
      <c r="F33" s="25">
        <f>$B$17*$B$8</f>
        <v>0.377682302186754</v>
      </c>
    </row>
    <row r="34" ht="22" customHeight="1" spans="1:10">
      <c r="A34" s="12">
        <v>35</v>
      </c>
      <c r="B34" s="25">
        <f>$B$18*$B$4</f>
        <v>0.0938257917298805</v>
      </c>
      <c r="C34" s="25">
        <f>$B$18*$B$5</f>
        <v>0.140738687594821</v>
      </c>
      <c r="D34" s="25">
        <f>$B$18*$B$6</f>
        <v>0.211108031392231</v>
      </c>
      <c r="E34" s="25">
        <f>$B$18*$B$7</f>
        <v>0.328390271054582</v>
      </c>
      <c r="F34" s="25">
        <f>$B$18*$B$8</f>
        <v>0.469128958649402</v>
      </c>
    </row>
    <row r="35" ht="22" customHeight="1" spans="1:10">
      <c r="A35" s="12">
        <v>40</v>
      </c>
      <c r="B35" s="25">
        <f>$B$19*$B$4</f>
        <v>0.113218092758384</v>
      </c>
      <c r="C35" s="25">
        <f>$B$19*$B$5</f>
        <v>0.169827139137576</v>
      </c>
      <c r="D35" s="25">
        <f>$B$19*$B$6</f>
        <v>0.254740708706364</v>
      </c>
      <c r="E35" s="25">
        <f>$B$19*$B$7</f>
        <v>0.396263324654344</v>
      </c>
      <c r="F35" s="25">
        <f>$B$19*$B$8</f>
        <v>0.566090463791919</v>
      </c>
    </row>
    <row r="36" ht="22" customHeight="1" spans="1:10">
      <c r="A36" s="12">
        <v>45</v>
      </c>
      <c r="B36" s="25">
        <f>$B$20*$B$4</f>
        <v>0.13360753860957</v>
      </c>
      <c r="C36" s="25">
        <f>$B$20*$B$5</f>
        <v>0.200411307914354</v>
      </c>
      <c r="D36" s="25">
        <f>$B$20*$B$6</f>
        <v>0.300616961871532</v>
      </c>
      <c r="E36" s="25">
        <f>$B$20*$B$7</f>
        <v>0.467626385133494</v>
      </c>
      <c r="F36" s="25">
        <f>$B$20*$B$8</f>
        <v>0.668037693047848</v>
      </c>
    </row>
    <row r="37" ht="22" customHeight="1" spans="1:10">
      <c r="A37" s="12">
        <v>50</v>
      </c>
      <c r="B37" s="25">
        <f>$B$21*$B$4</f>
        <v>0.154910836600993</v>
      </c>
      <c r="C37" s="25">
        <f>$B$21*$B$5</f>
        <v>0.232366254901489</v>
      </c>
      <c r="D37" s="25">
        <f>$B$21*$B$6</f>
        <v>0.348549382352234</v>
      </c>
      <c r="E37" s="25">
        <f>$B$21*$B$7</f>
        <v>0.542187928103475</v>
      </c>
      <c r="F37" s="25">
        <f>$B$21*$B$8</f>
        <v>0.774554183004965</v>
      </c>
    </row>
    <row r="38" ht="22" customHeight="1" spans="1:10">
      <c r="A38" s="12">
        <v>55</v>
      </c>
      <c r="B38" s="25">
        <f>$B$22*$B$4</f>
        <v>0.177060384254628</v>
      </c>
      <c r="C38" s="25">
        <f>$B$22*$B$5</f>
        <v>0.265590576381942</v>
      </c>
      <c r="D38" s="25">
        <f>$B$22*$B$6</f>
        <v>0.398385864572913</v>
      </c>
      <c r="E38" s="25">
        <f>$B$22*$B$7</f>
        <v>0.619711344891198</v>
      </c>
      <c r="F38" s="25">
        <f>$B$22*$B$8</f>
        <v>0.88530192127314</v>
      </c>
    </row>
    <row r="39" ht="22" customHeight="1" spans="1:10">
      <c r="A39" s="12">
        <v>60</v>
      </c>
      <c r="B39" s="25">
        <f>$B$23*$B$4</f>
        <v>0.2</v>
      </c>
      <c r="C39" s="25">
        <f>$B$23*$B$5</f>
        <v>0.3</v>
      </c>
      <c r="D39" s="25">
        <f>$B$23*$B$6</f>
        <v>0.45</v>
      </c>
      <c r="E39" s="25">
        <f>$B$23*$B$7</f>
        <v>0.7</v>
      </c>
      <c r="F39" s="25">
        <f>$B$23*$B$8</f>
        <v>1</v>
      </c>
    </row>
    <row r="40" ht="22" customHeight="1"/>
    <row r="41" ht="22" customHeight="1"/>
    <row r="42" ht="22" customHeight="1" spans="1:10">
      <c r="A42" s="6" t="s">
        <v>97</v>
      </c>
      <c r="B42" s="2"/>
      <c r="C42" s="2"/>
      <c r="D42" s="2"/>
      <c r="E42" s="2"/>
      <c r="F42" s="2"/>
      <c r="G42" s="2"/>
      <c r="H42" s="2"/>
      <c r="I42" s="2"/>
      <c r="J42" s="3"/>
    </row>
    <row r="43" ht="22" customHeight="1" spans="1:10">
      <c r="A43" s="4" t="s">
        <v>98</v>
      </c>
      <c r="B43" s="4" t="s">
        <v>84</v>
      </c>
      <c r="C43" s="4" t="s">
        <v>99</v>
      </c>
      <c r="D43" s="4" t="s">
        <v>100</v>
      </c>
    </row>
    <row r="44" ht="22" customHeight="1" spans="1:10">
      <c r="A44" s="5" t="s">
        <v>101</v>
      </c>
      <c r="B44" s="5" t="s">
        <v>102</v>
      </c>
      <c r="C44" s="10">
        <v>11250</v>
      </c>
      <c r="D44" s="5" t="s">
        <v>103</v>
      </c>
    </row>
    <row r="45" ht="22" customHeight="1" spans="1:10">
      <c r="A45" s="5" t="s">
        <v>104</v>
      </c>
      <c r="B45" s="5" t="s">
        <v>105</v>
      </c>
      <c r="C45" s="10">
        <v>37500</v>
      </c>
      <c r="D45" s="5" t="s">
        <v>106</v>
      </c>
    </row>
    <row r="46" ht="22" customHeight="1" spans="1:10">
      <c r="A46" s="5" t="s">
        <v>107</v>
      </c>
      <c r="B46" s="5" t="s">
        <v>108</v>
      </c>
      <c r="C46" s="10">
        <v>7500</v>
      </c>
      <c r="D46" s="5" t="s">
        <v>109</v>
      </c>
    </row>
    <row r="47" ht="22" customHeight="1" spans="1:10">
      <c r="A47" s="5" t="s">
        <v>110</v>
      </c>
      <c r="B47" s="5" t="s">
        <v>111</v>
      </c>
      <c r="C47" s="11">
        <v>0.8</v>
      </c>
      <c r="D47" s="5" t="s">
        <v>112</v>
      </c>
    </row>
    <row r="48" ht="22" customHeight="1" spans="1:10">
      <c r="A48" s="5" t="s">
        <v>113</v>
      </c>
      <c r="B48" s="5" t="s">
        <v>114</v>
      </c>
      <c r="C48" s="11">
        <v>0.8</v>
      </c>
      <c r="D48" s="5" t="s">
        <v>115</v>
      </c>
    </row>
    <row r="49" ht="22" customHeight="1" spans="1:10">
      <c r="A49" s="5" t="s">
        <v>116</v>
      </c>
      <c r="B49" s="5" t="s">
        <v>117</v>
      </c>
      <c r="C49" s="11">
        <v>0.8</v>
      </c>
      <c r="D49" s="5" t="s">
        <v>118</v>
      </c>
    </row>
    <row r="50" ht="22" customHeight="1" spans="1:10">
      <c r="A50" s="5" t="s">
        <v>119</v>
      </c>
      <c r="B50" s="5" t="s">
        <v>120</v>
      </c>
      <c r="C50" s="10">
        <v>7200</v>
      </c>
      <c r="D50" s="5" t="s">
        <v>121</v>
      </c>
    </row>
    <row r="51" ht="22" customHeight="1" spans="1:10">
      <c r="A51" s="5" t="s">
        <v>122</v>
      </c>
      <c r="B51" s="5" t="s">
        <v>123</v>
      </c>
      <c r="C51" s="10">
        <v>8800</v>
      </c>
      <c r="D51" s="5" t="s">
        <v>121</v>
      </c>
    </row>
    <row r="52" ht="22" customHeight="1"/>
    <row r="53" ht="22" customHeight="1" spans="1:10">
      <c r="A53" s="6" t="s">
        <v>124</v>
      </c>
      <c r="B53" s="2"/>
      <c r="C53" s="2"/>
      <c r="D53" s="2"/>
      <c r="E53" s="2"/>
      <c r="F53" s="2"/>
      <c r="G53" s="2"/>
      <c r="H53" s="2"/>
      <c r="I53" s="2"/>
      <c r="J53" s="3"/>
    </row>
    <row r="54" ht="22" customHeight="1" spans="1:10">
      <c r="A54" s="4" t="s">
        <v>125</v>
      </c>
      <c r="B54" s="4" t="s">
        <v>126</v>
      </c>
      <c r="C54" s="4" t="s">
        <v>100</v>
      </c>
    </row>
    <row r="55" ht="22" customHeight="1" spans="1:10">
      <c r="A55" s="5" t="s">
        <v>127</v>
      </c>
      <c r="B55" s="5">
        <f>INDEX($B$28:$F$39,MATCH(30,$A$28:$A$39,0),MATCH("红",$B$27:$F$27,0))</f>
        <v>0.377682302186754</v>
      </c>
      <c r="C55" s="5" t="s">
        <v>128</v>
      </c>
    </row>
    <row r="56" ht="22" customHeight="1" spans="1:10">
      <c r="A56" s="5" t="s">
        <v>129</v>
      </c>
      <c r="B56" s="5">
        <f>INDEX($B$28:$F$39,MATCH(60,$A$28:$A$39,0),MATCH("蓝",$B$27:$F$27,0))</f>
        <v>0.3</v>
      </c>
      <c r="C56" s="5" t="s">
        <v>130</v>
      </c>
    </row>
    <row r="57" ht="22" customHeight="1" spans="1:10">
      <c r="A57" s="5" t="s">
        <v>131</v>
      </c>
      <c r="B57" s="5">
        <f>INDEX($B$28:$F$39,MATCH(60,$A$28:$A$39,0),MATCH("紫",$B$27:$F$27,0))</f>
        <v>0.45</v>
      </c>
      <c r="C57" s="5" t="s">
        <v>130</v>
      </c>
    </row>
    <row r="58" ht="22" customHeight="1" spans="1:10">
      <c r="A58" s="5" t="s">
        <v>132</v>
      </c>
      <c r="B58" s="5">
        <f>INDEX($B$28:$F$39,MATCH(40,$A$28:$A$39,0),MATCH("红",$B$27:$F$27,0))</f>
        <v>0.566090463791919</v>
      </c>
      <c r="C58" s="5" t="s">
        <v>133</v>
      </c>
    </row>
    <row r="59" ht="22" customHeight="1" spans="1:10">
      <c r="A59" s="5" t="s">
        <v>134</v>
      </c>
      <c r="B59" s="5">
        <f>INDEX($B$28:$F$39,MATCH(60,$A$28:$A$39,0),MATCH("金",$B$27:$F$27,0))</f>
        <v>0.7</v>
      </c>
      <c r="C59" s="5" t="s">
        <v>130</v>
      </c>
    </row>
    <row r="60" ht="22" customHeight="1" spans="1:10">
      <c r="A60" s="5" t="s">
        <v>135</v>
      </c>
      <c r="B60" s="5">
        <f>INDEX($B$28:$F$39,MATCH(50,$A$28:$A$39,0),MATCH("红",$B$27:$F$27,0))</f>
        <v>0.774554183004965</v>
      </c>
      <c r="C60" s="5" t="s">
        <v>136</v>
      </c>
    </row>
    <row r="61" ht="22" customHeight="1" spans="1:10">
      <c r="A61" s="5" t="s">
        <v>137</v>
      </c>
      <c r="B61" s="5">
        <f>INDEX($B$28:$F$39,MATCH(60,$A$28:$A$39,0),MATCH("红",$B$27:$F$27,0))</f>
        <v>1</v>
      </c>
      <c r="C61" s="5" t="s">
        <v>130</v>
      </c>
    </row>
  </sheetData>
  <mergeCells count="5">
    <mergeCell ref="A1:J1"/>
    <mergeCell ref="A10:J10"/>
    <mergeCell ref="A26:J26"/>
    <mergeCell ref="A42:J42"/>
    <mergeCell ref="A53:J53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"/>
  <sheetViews>
    <sheetView showGridLines="0" workbookViewId="0">
      <pane ySplit="1" topLeftCell="A32" activePane="bottomLeft" state="frozen"/>
      <selection/>
      <selection pane="bottomLeft" activeCell="C55" sqref="C55"/>
    </sheetView>
  </sheetViews>
  <sheetFormatPr defaultColWidth="9" defaultRowHeight="13.5"/>
  <cols>
    <col min="1" max="1" width="18" customWidth="1"/>
    <col min="2" max="2" width="20" customWidth="1"/>
    <col min="3" max="3" width="42" customWidth="1"/>
    <col min="4" max="6" width="10" customWidth="1"/>
    <col min="7" max="10" width="13" customWidth="1"/>
  </cols>
  <sheetData>
    <row r="1" ht="22" customHeight="1" spans="1:10">
      <c r="A1" s="1" t="s">
        <v>138</v>
      </c>
      <c r="B1" s="2"/>
      <c r="C1" s="2"/>
      <c r="D1" s="2"/>
      <c r="E1" s="2"/>
      <c r="F1" s="2"/>
      <c r="G1" s="2"/>
      <c r="H1" s="2"/>
      <c r="I1" s="2"/>
      <c r="J1" s="3"/>
    </row>
    <row r="2" ht="22" customHeight="1"/>
    <row r="3" ht="22" customHeight="1" spans="1:10">
      <c r="A3" s="4" t="s">
        <v>77</v>
      </c>
      <c r="B3" s="4" t="s">
        <v>139</v>
      </c>
    </row>
    <row r="4" ht="22" customHeight="1" spans="1:10">
      <c r="A4" s="5" t="s">
        <v>86</v>
      </c>
      <c r="B4" s="11">
        <v>0.3</v>
      </c>
    </row>
    <row r="5" ht="22" customHeight="1" spans="1:10">
      <c r="A5" s="5" t="s">
        <v>87</v>
      </c>
      <c r="B5" s="11">
        <v>0.45</v>
      </c>
    </row>
    <row r="6" ht="22" customHeight="1" spans="1:10">
      <c r="A6" s="5" t="s">
        <v>88</v>
      </c>
      <c r="B6" s="11">
        <v>0.6</v>
      </c>
    </row>
    <row r="7" ht="22" customHeight="1" spans="1:10">
      <c r="A7" s="5" t="s">
        <v>89</v>
      </c>
      <c r="B7" s="11">
        <v>0.8</v>
      </c>
    </row>
    <row r="8" ht="22" customHeight="1" spans="1:10">
      <c r="A8" s="5" t="s">
        <v>90</v>
      </c>
      <c r="B8" s="23">
        <v>1</v>
      </c>
    </row>
    <row r="9" ht="22" customHeight="1"/>
    <row r="10" ht="22" customHeight="1" spans="1:10">
      <c r="A10" s="6" t="s">
        <v>140</v>
      </c>
      <c r="B10" s="2"/>
      <c r="C10" s="2"/>
      <c r="D10" s="2"/>
      <c r="E10" s="2"/>
      <c r="F10" s="2"/>
      <c r="G10" s="2"/>
      <c r="H10" s="2"/>
      <c r="I10" s="2"/>
      <c r="J10" s="3"/>
    </row>
    <row r="11" ht="22" customHeight="1" spans="1:10">
      <c r="A11" s="4" t="s">
        <v>92</v>
      </c>
      <c r="B11" s="4" t="s">
        <v>93</v>
      </c>
    </row>
    <row r="12" ht="22" customHeight="1" spans="1:10">
      <c r="A12" s="12">
        <v>5</v>
      </c>
      <c r="B12" s="25">
        <f t="shared" ref="B12:B23" si="0">0.2+0.8*((A12-5)/55)</f>
        <v>0.2</v>
      </c>
    </row>
    <row r="13" ht="22" customHeight="1" spans="1:10">
      <c r="A13" s="12">
        <v>10</v>
      </c>
      <c r="B13" s="25">
        <f t="shared" si="0"/>
        <v>0.272727272727273</v>
      </c>
    </row>
    <row r="14" ht="22" customHeight="1" spans="1:10">
      <c r="A14" s="12">
        <v>15</v>
      </c>
      <c r="B14" s="25">
        <f t="shared" si="0"/>
        <v>0.345454545454545</v>
      </c>
    </row>
    <row r="15" ht="22" customHeight="1" spans="1:10">
      <c r="A15" s="12">
        <v>20</v>
      </c>
      <c r="B15" s="25">
        <f t="shared" si="0"/>
        <v>0.418181818181818</v>
      </c>
    </row>
    <row r="16" ht="22" customHeight="1" spans="1:10">
      <c r="A16" s="12">
        <v>25</v>
      </c>
      <c r="B16" s="25">
        <f t="shared" si="0"/>
        <v>0.490909090909091</v>
      </c>
    </row>
    <row r="17" ht="22" customHeight="1" spans="1:10">
      <c r="A17" s="12">
        <v>30</v>
      </c>
      <c r="B17" s="25">
        <f t="shared" si="0"/>
        <v>0.563636363636364</v>
      </c>
    </row>
    <row r="18" ht="22" customHeight="1" spans="1:10">
      <c r="A18" s="12">
        <v>35</v>
      </c>
      <c r="B18" s="25">
        <f t="shared" si="0"/>
        <v>0.636363636363636</v>
      </c>
    </row>
    <row r="19" ht="22" customHeight="1" spans="1:10">
      <c r="A19" s="12">
        <v>40</v>
      </c>
      <c r="B19" s="25">
        <f t="shared" si="0"/>
        <v>0.709090909090909</v>
      </c>
    </row>
    <row r="20" ht="22" customHeight="1" spans="1:10">
      <c r="A20" s="12">
        <v>45</v>
      </c>
      <c r="B20" s="25">
        <f t="shared" si="0"/>
        <v>0.781818181818182</v>
      </c>
    </row>
    <row r="21" ht="22" customHeight="1" spans="1:10">
      <c r="A21" s="12">
        <v>50</v>
      </c>
      <c r="B21" s="25">
        <f t="shared" si="0"/>
        <v>0.854545454545455</v>
      </c>
    </row>
    <row r="22" ht="22" customHeight="1" spans="1:10">
      <c r="A22" s="12">
        <v>55</v>
      </c>
      <c r="B22" s="25">
        <f t="shared" si="0"/>
        <v>0.927272727272727</v>
      </c>
    </row>
    <row r="23" ht="22" customHeight="1" spans="1:10">
      <c r="A23" s="12">
        <v>60</v>
      </c>
      <c r="B23" s="25">
        <f t="shared" si="0"/>
        <v>1</v>
      </c>
    </row>
    <row r="24" ht="22" customHeight="1"/>
    <row r="25" ht="22" customHeight="1"/>
    <row r="26" ht="22" customHeight="1" spans="1:10">
      <c r="A26" s="6" t="s">
        <v>141</v>
      </c>
      <c r="B26" s="2"/>
      <c r="C26" s="2"/>
      <c r="D26" s="2"/>
      <c r="E26" s="2"/>
      <c r="F26" s="2"/>
      <c r="G26" s="2"/>
      <c r="H26" s="2"/>
      <c r="I26" s="2"/>
      <c r="J26" s="3"/>
    </row>
    <row r="27" ht="22" customHeight="1" spans="1:10">
      <c r="A27" s="4" t="s">
        <v>92</v>
      </c>
      <c r="B27" s="4" t="s">
        <v>86</v>
      </c>
      <c r="C27" s="4" t="s">
        <v>87</v>
      </c>
      <c r="D27" s="4" t="s">
        <v>88</v>
      </c>
      <c r="E27" s="4" t="s">
        <v>89</v>
      </c>
      <c r="F27" s="4" t="s">
        <v>90</v>
      </c>
    </row>
    <row r="28" ht="22" customHeight="1" spans="1:10">
      <c r="A28" s="12">
        <v>5</v>
      </c>
      <c r="B28" s="25">
        <f>$B$12*$B$4</f>
        <v>0.06</v>
      </c>
      <c r="C28" s="25">
        <f>$B$12*$B$5</f>
        <v>0.09</v>
      </c>
      <c r="D28" s="25">
        <f>$B$12*$B$6</f>
        <v>0.12</v>
      </c>
      <c r="E28" s="25">
        <f>$B$12*$B$7</f>
        <v>0.16</v>
      </c>
      <c r="F28" s="25">
        <f>$B$12*$B$8</f>
        <v>0.2</v>
      </c>
    </row>
    <row r="29" ht="22" customHeight="1" spans="1:10">
      <c r="A29" s="12">
        <v>10</v>
      </c>
      <c r="B29" s="25">
        <f>$B$13*$B$4</f>
        <v>0.0818181818181818</v>
      </c>
      <c r="C29" s="25">
        <f>$B$13*$B$5</f>
        <v>0.122727272727273</v>
      </c>
      <c r="D29" s="25">
        <f>$B$13*$B$6</f>
        <v>0.163636363636364</v>
      </c>
      <c r="E29" s="25">
        <f>$B$13*$B$7</f>
        <v>0.218181818181818</v>
      </c>
      <c r="F29" s="25">
        <f>$B$13*$B$8</f>
        <v>0.272727272727273</v>
      </c>
    </row>
    <row r="30" ht="22" customHeight="1" spans="1:10">
      <c r="A30" s="12">
        <v>15</v>
      </c>
      <c r="B30" s="25">
        <f>$B$14*$B$4</f>
        <v>0.103636363636364</v>
      </c>
      <c r="C30" s="25">
        <f>$B$14*$B$5</f>
        <v>0.155454545454545</v>
      </c>
      <c r="D30" s="25">
        <f>$B$14*$B$6</f>
        <v>0.207272727272727</v>
      </c>
      <c r="E30" s="25">
        <f>$B$14*$B$7</f>
        <v>0.276363636363636</v>
      </c>
      <c r="F30" s="25">
        <f>$B$14*$B$8</f>
        <v>0.345454545454545</v>
      </c>
    </row>
    <row r="31" ht="22" customHeight="1" spans="1:10">
      <c r="A31" s="12">
        <v>20</v>
      </c>
      <c r="B31" s="25">
        <f>$B$15*$B$4</f>
        <v>0.125454545454545</v>
      </c>
      <c r="C31" s="25">
        <f>$B$15*$B$5</f>
        <v>0.188181818181818</v>
      </c>
      <c r="D31" s="25">
        <f>$B$15*$B$6</f>
        <v>0.250909090909091</v>
      </c>
      <c r="E31" s="25">
        <f>$B$15*$B$7</f>
        <v>0.334545454545455</v>
      </c>
      <c r="F31" s="25">
        <f>$B$15*$B$8</f>
        <v>0.418181818181818</v>
      </c>
    </row>
    <row r="32" ht="22" customHeight="1" spans="1:10">
      <c r="A32" s="12">
        <v>25</v>
      </c>
      <c r="B32" s="25">
        <f>$B$16*$B$4</f>
        <v>0.147272727272727</v>
      </c>
      <c r="C32" s="25">
        <f>$B$16*$B$5</f>
        <v>0.220909090909091</v>
      </c>
      <c r="D32" s="25">
        <f>$B$16*$B$6</f>
        <v>0.294545454545455</v>
      </c>
      <c r="E32" s="25">
        <f>$B$16*$B$7</f>
        <v>0.392727272727273</v>
      </c>
      <c r="F32" s="25">
        <f>$B$16*$B$8</f>
        <v>0.490909090909091</v>
      </c>
    </row>
    <row r="33" ht="22" customHeight="1" spans="1:10">
      <c r="A33" s="12">
        <v>30</v>
      </c>
      <c r="B33" s="25">
        <f>$B$17*$B$4</f>
        <v>0.169090909090909</v>
      </c>
      <c r="C33" s="25">
        <f>$B$17*$B$5</f>
        <v>0.253636363636364</v>
      </c>
      <c r="D33" s="25">
        <f>$B$17*$B$6</f>
        <v>0.338181818181818</v>
      </c>
      <c r="E33" s="25">
        <f>$B$17*$B$7</f>
        <v>0.450909090909091</v>
      </c>
      <c r="F33" s="25">
        <f>$B$17*$B$8</f>
        <v>0.563636363636364</v>
      </c>
    </row>
    <row r="34" ht="22" customHeight="1" spans="1:10">
      <c r="A34" s="12">
        <v>35</v>
      </c>
      <c r="B34" s="25">
        <f>$B$18*$B$4</f>
        <v>0.190909090909091</v>
      </c>
      <c r="C34" s="25">
        <f>$B$18*$B$5</f>
        <v>0.286363636363636</v>
      </c>
      <c r="D34" s="25">
        <f>$B$18*$B$6</f>
        <v>0.381818181818182</v>
      </c>
      <c r="E34" s="25">
        <f>$B$18*$B$7</f>
        <v>0.509090909090909</v>
      </c>
      <c r="F34" s="25">
        <f>$B$18*$B$8</f>
        <v>0.636363636363636</v>
      </c>
    </row>
    <row r="35" ht="22" customHeight="1" spans="1:10">
      <c r="A35" s="12">
        <v>40</v>
      </c>
      <c r="B35" s="25">
        <f>$B$19*$B$4</f>
        <v>0.212727272727273</v>
      </c>
      <c r="C35" s="25">
        <f>$B$19*$B$5</f>
        <v>0.319090909090909</v>
      </c>
      <c r="D35" s="25">
        <f>$B$19*$B$6</f>
        <v>0.425454545454546</v>
      </c>
      <c r="E35" s="25">
        <f>$B$19*$B$7</f>
        <v>0.567272727272727</v>
      </c>
      <c r="F35" s="25">
        <f>$B$19*$B$8</f>
        <v>0.709090909090909</v>
      </c>
    </row>
    <row r="36" ht="22" customHeight="1" spans="1:10">
      <c r="A36" s="12">
        <v>45</v>
      </c>
      <c r="B36" s="25">
        <f>$B$20*$B$4</f>
        <v>0.234545454545455</v>
      </c>
      <c r="C36" s="25">
        <f>$B$20*$B$5</f>
        <v>0.351818181818182</v>
      </c>
      <c r="D36" s="25">
        <f>$B$20*$B$6</f>
        <v>0.469090909090909</v>
      </c>
      <c r="E36" s="25">
        <f>$B$20*$B$7</f>
        <v>0.625454545454546</v>
      </c>
      <c r="F36" s="25">
        <f>$B$20*$B$8</f>
        <v>0.781818181818182</v>
      </c>
    </row>
    <row r="37" ht="22" customHeight="1" spans="1:10">
      <c r="A37" s="12">
        <v>50</v>
      </c>
      <c r="B37" s="25">
        <f>$B$21*$B$4</f>
        <v>0.256363636363636</v>
      </c>
      <c r="C37" s="25">
        <f>$B$21*$B$5</f>
        <v>0.384545454545455</v>
      </c>
      <c r="D37" s="25">
        <f>$B$21*$B$6</f>
        <v>0.512727272727273</v>
      </c>
      <c r="E37" s="25">
        <f>$B$21*$B$7</f>
        <v>0.683636363636364</v>
      </c>
      <c r="F37" s="25">
        <f>$B$21*$B$8</f>
        <v>0.854545454545455</v>
      </c>
    </row>
    <row r="38" ht="22" customHeight="1" spans="1:10">
      <c r="A38" s="12">
        <v>55</v>
      </c>
      <c r="B38" s="25">
        <f>$B$22*$B$4</f>
        <v>0.278181818181818</v>
      </c>
      <c r="C38" s="25">
        <f>$B$22*$B$5</f>
        <v>0.417272727272727</v>
      </c>
      <c r="D38" s="25">
        <f>$B$22*$B$6</f>
        <v>0.556363636363636</v>
      </c>
      <c r="E38" s="25">
        <f>$B$22*$B$7</f>
        <v>0.741818181818182</v>
      </c>
      <c r="F38" s="25">
        <f>$B$22*$B$8</f>
        <v>0.927272727272727</v>
      </c>
    </row>
    <row r="39" ht="22" customHeight="1" spans="1:10">
      <c r="A39" s="12">
        <v>60</v>
      </c>
      <c r="B39" s="25">
        <f>$B$23*$B$4</f>
        <v>0.3</v>
      </c>
      <c r="C39" s="25">
        <f>$B$23*$B$5</f>
        <v>0.45</v>
      </c>
      <c r="D39" s="25">
        <f>$B$23*$B$6</f>
        <v>0.6</v>
      </c>
      <c r="E39" s="25">
        <f>$B$23*$B$7</f>
        <v>0.8</v>
      </c>
      <c r="F39" s="25">
        <f>$B$23*$B$8</f>
        <v>1</v>
      </c>
    </row>
    <row r="40" ht="22" customHeight="1"/>
    <row r="41" ht="22" customHeight="1"/>
    <row r="42" ht="22" customHeight="1" spans="1:10">
      <c r="A42" s="6" t="s">
        <v>142</v>
      </c>
      <c r="B42" s="2"/>
      <c r="C42" s="2"/>
      <c r="D42" s="2"/>
      <c r="E42" s="2"/>
      <c r="F42" s="2"/>
      <c r="G42" s="2"/>
      <c r="H42" s="2"/>
      <c r="I42" s="2"/>
      <c r="J42" s="3"/>
    </row>
    <row r="43" ht="22" customHeight="1" spans="1:10">
      <c r="A43" s="4" t="s">
        <v>138</v>
      </c>
      <c r="B43" s="4" t="s">
        <v>143</v>
      </c>
      <c r="C43" s="4" t="s">
        <v>144</v>
      </c>
    </row>
    <row r="44" ht="22" customHeight="1" spans="1:10">
      <c r="A44" s="5" t="s">
        <v>111</v>
      </c>
      <c r="B44" s="11">
        <v>0.245</v>
      </c>
      <c r="C44" s="5" t="s">
        <v>145</v>
      </c>
    </row>
    <row r="45" ht="22" customHeight="1" spans="1:10">
      <c r="A45" s="5" t="s">
        <v>117</v>
      </c>
      <c r="B45" s="11">
        <v>0.245</v>
      </c>
      <c r="C45" s="5" t="s">
        <v>146</v>
      </c>
    </row>
    <row r="46" ht="22" customHeight="1" spans="1:10">
      <c r="A46" s="5" t="s">
        <v>114</v>
      </c>
      <c r="B46" s="11">
        <v>0.245</v>
      </c>
      <c r="C46" s="5" t="s">
        <v>146</v>
      </c>
    </row>
    <row r="47" ht="22" customHeight="1" spans="1:10">
      <c r="A47" s="5" t="s">
        <v>102</v>
      </c>
      <c r="B47" s="10">
        <v>2756</v>
      </c>
      <c r="C47" s="5" t="s">
        <v>147</v>
      </c>
    </row>
    <row r="48" ht="22" customHeight="1" spans="1:10">
      <c r="A48" s="5" t="s">
        <v>108</v>
      </c>
      <c r="B48" s="10">
        <v>1838</v>
      </c>
      <c r="C48" s="5" t="s">
        <v>148</v>
      </c>
    </row>
    <row r="49" ht="22" customHeight="1" spans="1:3">
      <c r="A49" s="5" t="s">
        <v>105</v>
      </c>
      <c r="B49" s="10">
        <v>9188</v>
      </c>
      <c r="C49" s="5" t="s">
        <v>149</v>
      </c>
    </row>
    <row r="50" ht="22" customHeight="1" spans="1:3">
      <c r="A50" s="5" t="s">
        <v>120</v>
      </c>
      <c r="B50" s="10">
        <v>2205</v>
      </c>
      <c r="C50" s="5" t="s">
        <v>150</v>
      </c>
    </row>
    <row r="51" ht="22" customHeight="1" spans="1:3">
      <c r="A51" s="5" t="s">
        <v>123</v>
      </c>
      <c r="B51" s="10">
        <v>2695</v>
      </c>
      <c r="C51" s="5" t="s">
        <v>151</v>
      </c>
    </row>
    <row r="52" ht="22" customHeight="1" spans="1:3">
      <c r="A52" s="5" t="s">
        <v>152</v>
      </c>
      <c r="B52" s="10">
        <v>2205</v>
      </c>
      <c r="C52" s="5" t="s">
        <v>150</v>
      </c>
    </row>
    <row r="53" ht="22" customHeight="1" spans="1:3">
      <c r="A53" s="5" t="s">
        <v>153</v>
      </c>
      <c r="B53" s="10">
        <v>3185</v>
      </c>
      <c r="C53" s="5" t="s">
        <v>154</v>
      </c>
    </row>
    <row r="54" ht="22" customHeight="1" spans="1:3">
      <c r="A54" s="5" t="s">
        <v>155</v>
      </c>
      <c r="B54" s="11">
        <v>0.1029</v>
      </c>
      <c r="C54" s="5" t="s">
        <v>156</v>
      </c>
    </row>
    <row r="55" ht="22" customHeight="1" spans="1:3">
      <c r="A55" s="5" t="s">
        <v>157</v>
      </c>
      <c r="B55" s="11">
        <v>0.1029</v>
      </c>
      <c r="C55" s="5" t="s">
        <v>156</v>
      </c>
    </row>
  </sheetData>
  <mergeCells count="4">
    <mergeCell ref="A1:J1"/>
    <mergeCell ref="A10:J10"/>
    <mergeCell ref="A26:J26"/>
    <mergeCell ref="A42:J42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showGridLines="0" workbookViewId="0">
      <pane ySplit="1" topLeftCell="A2" activePane="bottomLeft" state="frozen"/>
      <selection/>
      <selection pane="bottomLeft" activeCell="E36" sqref="E36"/>
    </sheetView>
  </sheetViews>
  <sheetFormatPr defaultColWidth="9" defaultRowHeight="13.5" outlineLevelCol="7"/>
  <cols>
    <col min="1" max="1" width="14" customWidth="1"/>
    <col min="2" max="3" width="16" customWidth="1"/>
    <col min="4" max="5" width="14" customWidth="1"/>
    <col min="6" max="8" width="13" customWidth="1"/>
  </cols>
  <sheetData>
    <row r="1" ht="22" customHeight="1" spans="1:8">
      <c r="A1" s="1" t="s">
        <v>158</v>
      </c>
      <c r="B1" s="2"/>
      <c r="C1" s="2"/>
      <c r="D1" s="2"/>
      <c r="E1" s="2"/>
      <c r="F1" s="2"/>
      <c r="G1" s="2"/>
      <c r="H1" s="3"/>
    </row>
    <row r="2" ht="22" customHeight="1"/>
    <row r="3" ht="22" customHeight="1" spans="1:8">
      <c r="A3" s="4" t="s">
        <v>63</v>
      </c>
      <c r="B3" s="4" t="s">
        <v>159</v>
      </c>
      <c r="C3" s="4" t="s">
        <v>160</v>
      </c>
      <c r="D3" s="4" t="s">
        <v>161</v>
      </c>
      <c r="E3" s="4" t="s">
        <v>162</v>
      </c>
    </row>
    <row r="4" ht="22" customHeight="1" spans="1:8">
      <c r="A4" s="5" t="s">
        <v>163</v>
      </c>
      <c r="B4" s="5" t="s">
        <v>164</v>
      </c>
      <c r="C4" s="5" t="s">
        <v>165</v>
      </c>
      <c r="D4" s="11">
        <v>0.8</v>
      </c>
      <c r="E4" s="11">
        <v>0.2</v>
      </c>
    </row>
    <row r="5" ht="22" customHeight="1" spans="1:8">
      <c r="A5" s="5" t="s">
        <v>166</v>
      </c>
      <c r="B5" s="5" t="s">
        <v>165</v>
      </c>
      <c r="C5" s="5" t="s">
        <v>167</v>
      </c>
      <c r="D5" s="11">
        <v>0.78</v>
      </c>
      <c r="E5" s="11">
        <v>0.22</v>
      </c>
    </row>
    <row r="6" ht="22" customHeight="1" spans="1:8">
      <c r="A6" s="5" t="s">
        <v>168</v>
      </c>
      <c r="B6" s="5" t="s">
        <v>167</v>
      </c>
      <c r="C6" s="5" t="s">
        <v>169</v>
      </c>
      <c r="D6" s="11">
        <v>0.76</v>
      </c>
      <c r="E6" s="11">
        <v>0.24</v>
      </c>
    </row>
    <row r="7" ht="22" customHeight="1" spans="1:8">
      <c r="A7" s="5" t="s">
        <v>170</v>
      </c>
      <c r="B7" s="5" t="s">
        <v>169</v>
      </c>
      <c r="C7" s="5" t="s">
        <v>171</v>
      </c>
      <c r="D7" s="11">
        <v>0.82</v>
      </c>
      <c r="E7" s="11">
        <v>0.18</v>
      </c>
    </row>
    <row r="8" ht="22" customHeight="1"/>
    <row r="9" ht="22" customHeight="1" spans="1:8">
      <c r="A9" s="6" t="s">
        <v>100</v>
      </c>
      <c r="B9" s="2"/>
      <c r="C9" s="2"/>
      <c r="D9" s="2"/>
      <c r="E9" s="2"/>
      <c r="F9" s="2"/>
      <c r="G9" s="2"/>
      <c r="H9" s="3"/>
    </row>
    <row r="10" ht="22" customHeight="1" spans="1:8">
      <c r="A10" s="5" t="s">
        <v>172</v>
      </c>
      <c r="B10" s="2"/>
      <c r="C10" s="2"/>
      <c r="D10" s="2"/>
      <c r="E10" s="2"/>
      <c r="F10" s="2"/>
      <c r="G10" s="2"/>
      <c r="H10" s="3"/>
    </row>
    <row r="11" ht="22" customHeight="1" spans="1:8">
      <c r="A11" s="5" t="s">
        <v>173</v>
      </c>
      <c r="B11" s="2"/>
      <c r="C11" s="2"/>
      <c r="D11" s="2"/>
      <c r="E11" s="2"/>
      <c r="F11" s="2"/>
      <c r="G11" s="2"/>
      <c r="H11" s="3"/>
    </row>
    <row r="12" ht="22" customHeight="1" spans="1:8">
      <c r="A12" s="5" t="s">
        <v>174</v>
      </c>
      <c r="B12" s="2"/>
      <c r="C12" s="2"/>
      <c r="D12" s="2"/>
      <c r="E12" s="2"/>
      <c r="F12" s="2"/>
      <c r="G12" s="2"/>
      <c r="H12" s="3"/>
    </row>
  </sheetData>
  <mergeCells count="5">
    <mergeCell ref="A1:H1"/>
    <mergeCell ref="A9:H9"/>
    <mergeCell ref="A10:H10"/>
    <mergeCell ref="A11:H11"/>
    <mergeCell ref="A12:H1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6"/>
  <sheetViews>
    <sheetView showGridLines="0" workbookViewId="0">
      <pane ySplit="1" topLeftCell="A14" activePane="bottomLeft" state="frozen"/>
      <selection/>
      <selection pane="bottomLeft" activeCell="G33" sqref="G33"/>
    </sheetView>
  </sheetViews>
  <sheetFormatPr defaultColWidth="9" defaultRowHeight="13.5"/>
  <cols>
    <col min="1" max="1" width="8" customWidth="1"/>
    <col min="2" max="5" width="10" customWidth="1"/>
    <col min="6" max="6" width="16" customWidth="1"/>
    <col min="7" max="12" width="13" customWidth="1"/>
  </cols>
  <sheetData>
    <row r="1" ht="22" customHeight="1" spans="1:12">
      <c r="A1" s="1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2" customHeight="1"/>
    <row r="3" ht="22" customHeight="1" spans="1:12">
      <c r="A3" s="4" t="s">
        <v>176</v>
      </c>
      <c r="B3" s="4" t="s">
        <v>177</v>
      </c>
      <c r="C3" s="4" t="s">
        <v>178</v>
      </c>
      <c r="D3" s="4" t="s">
        <v>179</v>
      </c>
    </row>
    <row r="4" ht="22" customHeight="1" spans="1:12">
      <c r="A4" s="10">
        <v>1</v>
      </c>
      <c r="B4" s="10">
        <v>3</v>
      </c>
      <c r="C4" s="10">
        <v>0</v>
      </c>
      <c r="D4" s="5">
        <f t="shared" ref="D4:D33" si="0">B5+C5</f>
        <v>3.05</v>
      </c>
    </row>
    <row r="5" ht="22" customHeight="1" spans="1:12">
      <c r="A5" s="10">
        <v>2</v>
      </c>
      <c r="B5" s="10">
        <v>3</v>
      </c>
      <c r="C5" s="11">
        <v>0.05</v>
      </c>
      <c r="D5" s="5">
        <f t="shared" si="0"/>
        <v>3.1</v>
      </c>
    </row>
    <row r="6" ht="22" customHeight="1" spans="1:12">
      <c r="A6" s="10">
        <v>3</v>
      </c>
      <c r="B6" s="10">
        <v>3</v>
      </c>
      <c r="C6" s="11">
        <v>0.1</v>
      </c>
      <c r="D6" s="5">
        <f t="shared" si="0"/>
        <v>3.15</v>
      </c>
    </row>
    <row r="7" ht="22" customHeight="1" spans="1:12">
      <c r="A7" s="10">
        <v>4</v>
      </c>
      <c r="B7" s="10">
        <v>3</v>
      </c>
      <c r="C7" s="11">
        <v>0.15</v>
      </c>
      <c r="D7" s="5">
        <f t="shared" si="0"/>
        <v>3.2</v>
      </c>
    </row>
    <row r="8" ht="22" customHeight="1" spans="1:12">
      <c r="A8" s="10">
        <v>5</v>
      </c>
      <c r="B8" s="10">
        <v>3</v>
      </c>
      <c r="C8" s="11">
        <v>0.2</v>
      </c>
      <c r="D8" s="5">
        <f t="shared" si="0"/>
        <v>3.25</v>
      </c>
    </row>
    <row r="9" ht="22" customHeight="1" spans="1:12">
      <c r="A9" s="10">
        <v>6</v>
      </c>
      <c r="B9" s="10">
        <v>3</v>
      </c>
      <c r="C9" s="11">
        <v>0.25</v>
      </c>
      <c r="D9" s="5">
        <f t="shared" si="0"/>
        <v>3.3</v>
      </c>
    </row>
    <row r="10" ht="22" customHeight="1" spans="1:12">
      <c r="A10" s="10">
        <v>7</v>
      </c>
      <c r="B10" s="10">
        <v>3</v>
      </c>
      <c r="C10" s="11">
        <v>0.3</v>
      </c>
      <c r="D10" s="5">
        <f t="shared" si="0"/>
        <v>3.35</v>
      </c>
    </row>
    <row r="11" ht="22" customHeight="1" spans="1:12">
      <c r="A11" s="10">
        <v>8</v>
      </c>
      <c r="B11" s="10">
        <v>3</v>
      </c>
      <c r="C11" s="11">
        <v>0.35</v>
      </c>
      <c r="D11" s="5">
        <f t="shared" si="0"/>
        <v>3.4</v>
      </c>
    </row>
    <row r="12" ht="22" customHeight="1" spans="1:12">
      <c r="A12" s="10">
        <v>9</v>
      </c>
      <c r="B12" s="10">
        <v>3</v>
      </c>
      <c r="C12" s="11">
        <v>0.4</v>
      </c>
      <c r="D12" s="5">
        <f t="shared" si="0"/>
        <v>3.45</v>
      </c>
    </row>
    <row r="13" ht="22" customHeight="1" spans="1:12">
      <c r="A13" s="10">
        <v>10</v>
      </c>
      <c r="B13" s="10">
        <v>3</v>
      </c>
      <c r="C13" s="11">
        <v>0.45</v>
      </c>
      <c r="D13" s="5">
        <f t="shared" si="0"/>
        <v>3.5</v>
      </c>
    </row>
    <row r="14" ht="22" customHeight="1" spans="1:12">
      <c r="A14" s="10">
        <v>11</v>
      </c>
      <c r="B14" s="10">
        <v>3</v>
      </c>
      <c r="C14" s="11">
        <v>0.5</v>
      </c>
      <c r="D14" s="5">
        <f t="shared" si="0"/>
        <v>3.6</v>
      </c>
    </row>
    <row r="15" ht="22" customHeight="1" spans="1:12">
      <c r="A15" s="10">
        <v>12</v>
      </c>
      <c r="B15" s="10">
        <v>3</v>
      </c>
      <c r="C15" s="11">
        <v>0.6</v>
      </c>
      <c r="D15" s="5">
        <f t="shared" si="0"/>
        <v>3.7</v>
      </c>
    </row>
    <row r="16" ht="22" customHeight="1" spans="1:12">
      <c r="A16" s="10">
        <v>13</v>
      </c>
      <c r="B16" s="10">
        <v>3</v>
      </c>
      <c r="C16" s="11">
        <v>0.7</v>
      </c>
      <c r="D16" s="5">
        <f t="shared" si="0"/>
        <v>3.8</v>
      </c>
    </row>
    <row r="17" ht="22" customHeight="1" spans="1:4">
      <c r="A17" s="10">
        <v>14</v>
      </c>
      <c r="B17" s="10">
        <v>3</v>
      </c>
      <c r="C17" s="11">
        <v>0.8</v>
      </c>
      <c r="D17" s="5">
        <f t="shared" si="0"/>
        <v>3.9</v>
      </c>
    </row>
    <row r="18" ht="22" customHeight="1" spans="1:4">
      <c r="A18" s="10">
        <v>15</v>
      </c>
      <c r="B18" s="10">
        <v>3</v>
      </c>
      <c r="C18" s="11">
        <v>0.9</v>
      </c>
      <c r="D18" s="5">
        <f t="shared" si="0"/>
        <v>4</v>
      </c>
    </row>
    <row r="19" ht="22" customHeight="1" spans="1:4">
      <c r="A19" s="10">
        <v>16</v>
      </c>
      <c r="B19" s="10">
        <v>4</v>
      </c>
      <c r="C19" s="10">
        <v>0</v>
      </c>
      <c r="D19" s="5">
        <f t="shared" si="0"/>
        <v>4.1</v>
      </c>
    </row>
    <row r="20" ht="22" customHeight="1" spans="1:4">
      <c r="A20" s="10">
        <v>17</v>
      </c>
      <c r="B20" s="10">
        <v>4</v>
      </c>
      <c r="C20" s="11">
        <v>0.1</v>
      </c>
      <c r="D20" s="5">
        <f t="shared" si="0"/>
        <v>4.2</v>
      </c>
    </row>
    <row r="21" ht="22" customHeight="1" spans="1:4">
      <c r="A21" s="10">
        <v>18</v>
      </c>
      <c r="B21" s="10">
        <v>4</v>
      </c>
      <c r="C21" s="11">
        <v>0.2</v>
      </c>
      <c r="D21" s="5">
        <f t="shared" si="0"/>
        <v>4.3</v>
      </c>
    </row>
    <row r="22" ht="22" customHeight="1" spans="1:4">
      <c r="A22" s="10">
        <v>19</v>
      </c>
      <c r="B22" s="10">
        <v>4</v>
      </c>
      <c r="C22" s="11">
        <v>0.3</v>
      </c>
      <c r="D22" s="5">
        <f t="shared" si="0"/>
        <v>4.4</v>
      </c>
    </row>
    <row r="23" ht="22" customHeight="1" spans="1:4">
      <c r="A23" s="10">
        <v>20</v>
      </c>
      <c r="B23" s="10">
        <v>4</v>
      </c>
      <c r="C23" s="11">
        <v>0.4</v>
      </c>
      <c r="D23" s="5">
        <f t="shared" si="0"/>
        <v>4.5</v>
      </c>
    </row>
    <row r="24" ht="22" customHeight="1" spans="1:4">
      <c r="A24" s="10">
        <v>21</v>
      </c>
      <c r="B24" s="10">
        <v>4</v>
      </c>
      <c r="C24" s="11">
        <v>0.5</v>
      </c>
      <c r="D24" s="5">
        <f t="shared" si="0"/>
        <v>4.6</v>
      </c>
    </row>
    <row r="25" ht="22" customHeight="1" spans="1:4">
      <c r="A25" s="10">
        <v>22</v>
      </c>
      <c r="B25" s="10">
        <v>4</v>
      </c>
      <c r="C25" s="11">
        <v>0.6</v>
      </c>
      <c r="D25" s="5">
        <f t="shared" si="0"/>
        <v>4.7</v>
      </c>
    </row>
    <row r="26" ht="22" customHeight="1" spans="1:4">
      <c r="A26" s="10">
        <v>23</v>
      </c>
      <c r="B26" s="10">
        <v>4</v>
      </c>
      <c r="C26" s="11">
        <v>0.7</v>
      </c>
      <c r="D26" s="5">
        <f t="shared" si="0"/>
        <v>4.8</v>
      </c>
    </row>
    <row r="27" ht="22" customHeight="1" spans="1:4">
      <c r="A27" s="10">
        <v>24</v>
      </c>
      <c r="B27" s="10">
        <v>4</v>
      </c>
      <c r="C27" s="11">
        <v>0.8</v>
      </c>
      <c r="D27" s="5">
        <f t="shared" si="0"/>
        <v>4.9</v>
      </c>
    </row>
    <row r="28" ht="22" customHeight="1" spans="1:4">
      <c r="A28" s="10">
        <v>25</v>
      </c>
      <c r="B28" s="10">
        <v>4</v>
      </c>
      <c r="C28" s="11">
        <v>0.9</v>
      </c>
      <c r="D28" s="5">
        <f t="shared" si="0"/>
        <v>5</v>
      </c>
    </row>
    <row r="29" ht="22" customHeight="1" spans="1:4">
      <c r="A29" s="10">
        <v>26</v>
      </c>
      <c r="B29" s="10">
        <v>5</v>
      </c>
      <c r="C29" s="10">
        <v>0</v>
      </c>
      <c r="D29" s="5">
        <f t="shared" si="0"/>
        <v>5.25</v>
      </c>
    </row>
    <row r="30" ht="22" customHeight="1" spans="1:4">
      <c r="A30" s="10">
        <v>27</v>
      </c>
      <c r="B30" s="10">
        <v>5</v>
      </c>
      <c r="C30" s="11">
        <v>0.25</v>
      </c>
      <c r="D30" s="5">
        <f t="shared" si="0"/>
        <v>5.5</v>
      </c>
    </row>
    <row r="31" ht="22" customHeight="1" spans="1:4">
      <c r="A31" s="10">
        <v>28</v>
      </c>
      <c r="B31" s="10">
        <v>5</v>
      </c>
      <c r="C31" s="11">
        <v>0.5</v>
      </c>
      <c r="D31" s="5">
        <f t="shared" si="0"/>
        <v>5.75</v>
      </c>
    </row>
    <row r="32" ht="22" customHeight="1" spans="1:4">
      <c r="A32" s="10">
        <v>29</v>
      </c>
      <c r="B32" s="10">
        <v>5</v>
      </c>
      <c r="C32" s="11">
        <v>0.75</v>
      </c>
      <c r="D32" s="5">
        <f t="shared" si="0"/>
        <v>6</v>
      </c>
    </row>
    <row r="33" ht="22" customHeight="1" spans="1:12">
      <c r="A33" s="10">
        <v>30</v>
      </c>
      <c r="B33" s="10">
        <v>6</v>
      </c>
      <c r="C33" s="10">
        <v>0</v>
      </c>
      <c r="D33" s="5">
        <f t="shared" si="0"/>
        <v>0</v>
      </c>
    </row>
    <row r="34" ht="22" customHeight="1"/>
    <row r="35" ht="22" customHeight="1" spans="1:12">
      <c r="A35" s="6" t="s">
        <v>180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 ht="22" customHeight="1" spans="1:12">
      <c r="A36" s="4" t="s">
        <v>176</v>
      </c>
      <c r="B36" s="4" t="s">
        <v>181</v>
      </c>
      <c r="C36" s="4" t="s">
        <v>182</v>
      </c>
      <c r="D36" s="4" t="s">
        <v>183</v>
      </c>
      <c r="E36" s="4" t="s">
        <v>184</v>
      </c>
      <c r="F36" s="4" t="s">
        <v>185</v>
      </c>
    </row>
    <row r="37" ht="22" customHeight="1" spans="1:12">
      <c r="A37" s="12">
        <v>1</v>
      </c>
      <c r="B37" s="14">
        <v>0.7</v>
      </c>
      <c r="C37" s="14">
        <v>0.3</v>
      </c>
      <c r="D37" s="14">
        <v>0</v>
      </c>
      <c r="E37" s="14">
        <v>0</v>
      </c>
      <c r="F37" s="24">
        <f t="shared" ref="F37:F66" si="1">E37*18%</f>
        <v>0</v>
      </c>
    </row>
    <row r="38" ht="22" customHeight="1" spans="1:12">
      <c r="A38" s="12">
        <v>2</v>
      </c>
      <c r="B38" s="14">
        <v>0.68</v>
      </c>
      <c r="C38" s="14">
        <v>0.31</v>
      </c>
      <c r="D38" s="14">
        <v>0.01</v>
      </c>
      <c r="E38" s="14">
        <v>0</v>
      </c>
      <c r="F38" s="24">
        <f t="shared" si="1"/>
        <v>0</v>
      </c>
    </row>
    <row r="39" ht="22" customHeight="1" spans="1:12">
      <c r="A39" s="12">
        <v>3</v>
      </c>
      <c r="B39" s="14">
        <v>0.66</v>
      </c>
      <c r="C39" s="14">
        <v>0.32</v>
      </c>
      <c r="D39" s="14">
        <v>0.02</v>
      </c>
      <c r="E39" s="14">
        <v>0</v>
      </c>
      <c r="F39" s="24">
        <f t="shared" si="1"/>
        <v>0</v>
      </c>
    </row>
    <row r="40" ht="22" customHeight="1" spans="1:12">
      <c r="A40" s="12">
        <v>4</v>
      </c>
      <c r="B40" s="14">
        <v>0.64</v>
      </c>
      <c r="C40" s="14">
        <v>0.33</v>
      </c>
      <c r="D40" s="14">
        <v>0.03</v>
      </c>
      <c r="E40" s="14">
        <v>0</v>
      </c>
      <c r="F40" s="24">
        <f t="shared" si="1"/>
        <v>0</v>
      </c>
    </row>
    <row r="41" ht="22" customHeight="1" spans="1:12">
      <c r="A41" s="12">
        <v>5</v>
      </c>
      <c r="B41" s="14">
        <v>0.62</v>
      </c>
      <c r="C41" s="14">
        <v>0.34</v>
      </c>
      <c r="D41" s="14">
        <v>0.04</v>
      </c>
      <c r="E41" s="14">
        <v>0</v>
      </c>
      <c r="F41" s="24">
        <f t="shared" si="1"/>
        <v>0</v>
      </c>
    </row>
    <row r="42" ht="22" customHeight="1" spans="1:12">
      <c r="A42" s="12">
        <v>6</v>
      </c>
      <c r="B42" s="14">
        <v>0.6</v>
      </c>
      <c r="C42" s="14">
        <v>0.35</v>
      </c>
      <c r="D42" s="14">
        <v>0.05</v>
      </c>
      <c r="E42" s="14">
        <v>0</v>
      </c>
      <c r="F42" s="24">
        <f t="shared" si="1"/>
        <v>0</v>
      </c>
    </row>
    <row r="43" ht="22" customHeight="1" spans="1:12">
      <c r="A43" s="12">
        <v>7</v>
      </c>
      <c r="B43" s="14">
        <v>0.58</v>
      </c>
      <c r="C43" s="14">
        <v>0.36</v>
      </c>
      <c r="D43" s="14">
        <v>0.06</v>
      </c>
      <c r="E43" s="14">
        <v>0</v>
      </c>
      <c r="F43" s="24">
        <f t="shared" si="1"/>
        <v>0</v>
      </c>
    </row>
    <row r="44" ht="22" customHeight="1" spans="1:12">
      <c r="A44" s="12">
        <v>8</v>
      </c>
      <c r="B44" s="14">
        <v>0.56</v>
      </c>
      <c r="C44" s="14">
        <v>0.37</v>
      </c>
      <c r="D44" s="14">
        <v>0.07</v>
      </c>
      <c r="E44" s="14">
        <v>0</v>
      </c>
      <c r="F44" s="24">
        <f t="shared" si="1"/>
        <v>0</v>
      </c>
    </row>
    <row r="45" ht="22" customHeight="1" spans="1:12">
      <c r="A45" s="12">
        <v>9</v>
      </c>
      <c r="B45" s="14">
        <v>0.54</v>
      </c>
      <c r="C45" s="14">
        <v>0.38</v>
      </c>
      <c r="D45" s="14">
        <v>0.08</v>
      </c>
      <c r="E45" s="14">
        <v>0</v>
      </c>
      <c r="F45" s="24">
        <f t="shared" si="1"/>
        <v>0</v>
      </c>
    </row>
    <row r="46" ht="22" customHeight="1" spans="1:12">
      <c r="A46" s="12">
        <v>10</v>
      </c>
      <c r="B46" s="14">
        <v>0.52</v>
      </c>
      <c r="C46" s="14">
        <v>0.39</v>
      </c>
      <c r="D46" s="14">
        <v>0.09</v>
      </c>
      <c r="E46" s="14">
        <v>0</v>
      </c>
      <c r="F46" s="24">
        <f t="shared" si="1"/>
        <v>0</v>
      </c>
    </row>
    <row r="47" ht="22" customHeight="1" spans="1:12">
      <c r="A47" s="12">
        <v>11</v>
      </c>
      <c r="B47" s="14">
        <v>0.5</v>
      </c>
      <c r="C47" s="14">
        <v>0.4</v>
      </c>
      <c r="D47" s="14">
        <v>0.09</v>
      </c>
      <c r="E47" s="14">
        <v>0.01</v>
      </c>
      <c r="F47" s="24">
        <f t="shared" si="1"/>
        <v>0.0018</v>
      </c>
    </row>
    <row r="48" ht="22" customHeight="1" spans="1:12">
      <c r="A48" s="12">
        <v>12</v>
      </c>
      <c r="B48" s="14">
        <v>0.48</v>
      </c>
      <c r="C48" s="14">
        <v>0.41</v>
      </c>
      <c r="D48" s="14">
        <v>0.1</v>
      </c>
      <c r="E48" s="14">
        <v>0.01</v>
      </c>
      <c r="F48" s="24">
        <f t="shared" si="1"/>
        <v>0.0018</v>
      </c>
    </row>
    <row r="49" ht="22" customHeight="1" spans="1:6">
      <c r="A49" s="12">
        <v>13</v>
      </c>
      <c r="B49" s="14">
        <v>0.46</v>
      </c>
      <c r="C49" s="14">
        <v>0.42</v>
      </c>
      <c r="D49" s="14">
        <v>0.11</v>
      </c>
      <c r="E49" s="14">
        <v>0.01</v>
      </c>
      <c r="F49" s="24">
        <f t="shared" si="1"/>
        <v>0.0018</v>
      </c>
    </row>
    <row r="50" ht="22" customHeight="1" spans="1:6">
      <c r="A50" s="12">
        <v>14</v>
      </c>
      <c r="B50" s="14">
        <v>0.44</v>
      </c>
      <c r="C50" s="14">
        <v>0.42</v>
      </c>
      <c r="D50" s="14">
        <v>0.12</v>
      </c>
      <c r="E50" s="14">
        <v>0.02</v>
      </c>
      <c r="F50" s="24">
        <f t="shared" si="1"/>
        <v>0.0036</v>
      </c>
    </row>
    <row r="51" ht="22" customHeight="1" spans="1:6">
      <c r="A51" s="12">
        <v>15</v>
      </c>
      <c r="B51" s="14">
        <v>0.42</v>
      </c>
      <c r="C51" s="14">
        <v>0.42</v>
      </c>
      <c r="D51" s="14">
        <v>0.14</v>
      </c>
      <c r="E51" s="14">
        <v>0.02</v>
      </c>
      <c r="F51" s="24">
        <f t="shared" si="1"/>
        <v>0.0036</v>
      </c>
    </row>
    <row r="52" ht="22" customHeight="1" spans="1:6">
      <c r="A52" s="12">
        <v>16</v>
      </c>
      <c r="B52" s="14">
        <v>0.4</v>
      </c>
      <c r="C52" s="14">
        <v>0.42</v>
      </c>
      <c r="D52" s="14">
        <v>0.15</v>
      </c>
      <c r="E52" s="14">
        <v>0.03</v>
      </c>
      <c r="F52" s="24">
        <f t="shared" si="1"/>
        <v>0.0054</v>
      </c>
    </row>
    <row r="53" ht="22" customHeight="1" spans="1:6">
      <c r="A53" s="12">
        <v>17</v>
      </c>
      <c r="B53" s="14">
        <v>0.38</v>
      </c>
      <c r="C53" s="14">
        <v>0.42</v>
      </c>
      <c r="D53" s="14">
        <v>0.17</v>
      </c>
      <c r="E53" s="14">
        <v>0.03</v>
      </c>
      <c r="F53" s="24">
        <f t="shared" si="1"/>
        <v>0.0054</v>
      </c>
    </row>
    <row r="54" ht="22" customHeight="1" spans="1:6">
      <c r="A54" s="12">
        <v>18</v>
      </c>
      <c r="B54" s="14">
        <v>0.36</v>
      </c>
      <c r="C54" s="14">
        <v>0.41</v>
      </c>
      <c r="D54" s="14">
        <v>0.19</v>
      </c>
      <c r="E54" s="14">
        <v>0.04</v>
      </c>
      <c r="F54" s="24">
        <f t="shared" si="1"/>
        <v>0.0072</v>
      </c>
    </row>
    <row r="55" ht="22" customHeight="1" spans="1:6">
      <c r="A55" s="12">
        <v>19</v>
      </c>
      <c r="B55" s="14">
        <v>0.34</v>
      </c>
      <c r="C55" s="14">
        <v>0.4</v>
      </c>
      <c r="D55" s="14">
        <v>0.21</v>
      </c>
      <c r="E55" s="14">
        <v>0.05</v>
      </c>
      <c r="F55" s="24">
        <f t="shared" si="1"/>
        <v>0.009</v>
      </c>
    </row>
    <row r="56" ht="22" customHeight="1" spans="1:6">
      <c r="A56" s="12">
        <v>20</v>
      </c>
      <c r="B56" s="14">
        <v>0.32</v>
      </c>
      <c r="C56" s="14">
        <v>0.39</v>
      </c>
      <c r="D56" s="14">
        <v>0.23</v>
      </c>
      <c r="E56" s="14">
        <v>0.06</v>
      </c>
      <c r="F56" s="24">
        <f t="shared" si="1"/>
        <v>0.0108</v>
      </c>
    </row>
    <row r="57" ht="22" customHeight="1" spans="1:6">
      <c r="A57" s="12">
        <v>21</v>
      </c>
      <c r="B57" s="14">
        <v>0.3</v>
      </c>
      <c r="C57" s="14">
        <v>0.38</v>
      </c>
      <c r="D57" s="14">
        <v>0.25</v>
      </c>
      <c r="E57" s="14">
        <v>0.07</v>
      </c>
      <c r="F57" s="24">
        <f t="shared" si="1"/>
        <v>0.0126</v>
      </c>
    </row>
    <row r="58" ht="22" customHeight="1" spans="1:6">
      <c r="A58" s="12">
        <v>22</v>
      </c>
      <c r="B58" s="14">
        <v>0.28</v>
      </c>
      <c r="C58" s="14">
        <v>0.37</v>
      </c>
      <c r="D58" s="14">
        <v>0.27</v>
      </c>
      <c r="E58" s="14">
        <v>0.08</v>
      </c>
      <c r="F58" s="24">
        <f t="shared" si="1"/>
        <v>0.0144</v>
      </c>
    </row>
    <row r="59" ht="22" customHeight="1" spans="1:6">
      <c r="A59" s="12">
        <v>23</v>
      </c>
      <c r="B59" s="14">
        <v>0.26</v>
      </c>
      <c r="C59" s="14">
        <v>0.36</v>
      </c>
      <c r="D59" s="14">
        <v>0.29</v>
      </c>
      <c r="E59" s="14">
        <v>0.09</v>
      </c>
      <c r="F59" s="24">
        <f t="shared" si="1"/>
        <v>0.0162</v>
      </c>
    </row>
    <row r="60" ht="22" customHeight="1" spans="1:6">
      <c r="A60" s="12">
        <v>24</v>
      </c>
      <c r="B60" s="14">
        <v>0.24</v>
      </c>
      <c r="C60" s="14">
        <v>0.35</v>
      </c>
      <c r="D60" s="14">
        <v>0.31</v>
      </c>
      <c r="E60" s="14">
        <v>0.1</v>
      </c>
      <c r="F60" s="24">
        <f t="shared" si="1"/>
        <v>0.018</v>
      </c>
    </row>
    <row r="61" ht="22" customHeight="1" spans="1:6">
      <c r="A61" s="12">
        <v>25</v>
      </c>
      <c r="B61" s="14">
        <v>0.22</v>
      </c>
      <c r="C61" s="14">
        <v>0.34</v>
      </c>
      <c r="D61" s="14">
        <v>0.32</v>
      </c>
      <c r="E61" s="14">
        <v>0.12</v>
      </c>
      <c r="F61" s="24">
        <f t="shared" si="1"/>
        <v>0.0216</v>
      </c>
    </row>
    <row r="62" ht="22" customHeight="1" spans="1:6">
      <c r="A62" s="12">
        <v>26</v>
      </c>
      <c r="B62" s="14">
        <v>0.2</v>
      </c>
      <c r="C62" s="14">
        <v>0.33</v>
      </c>
      <c r="D62" s="14">
        <v>0.33</v>
      </c>
      <c r="E62" s="14">
        <v>0.14</v>
      </c>
      <c r="F62" s="24">
        <f t="shared" si="1"/>
        <v>0.0252</v>
      </c>
    </row>
    <row r="63" ht="22" customHeight="1" spans="1:6">
      <c r="A63" s="12">
        <v>27</v>
      </c>
      <c r="B63" s="14">
        <v>0.18</v>
      </c>
      <c r="C63" s="14">
        <v>0.32</v>
      </c>
      <c r="D63" s="14">
        <v>0.34</v>
      </c>
      <c r="E63" s="14">
        <v>0.16</v>
      </c>
      <c r="F63" s="24">
        <f t="shared" si="1"/>
        <v>0.0288</v>
      </c>
    </row>
    <row r="64" ht="22" customHeight="1" spans="1:6">
      <c r="A64" s="12">
        <v>28</v>
      </c>
      <c r="B64" s="14">
        <v>0.16</v>
      </c>
      <c r="C64" s="14">
        <v>0.31</v>
      </c>
      <c r="D64" s="14">
        <v>0.35</v>
      </c>
      <c r="E64" s="14">
        <v>0.18</v>
      </c>
      <c r="F64" s="24">
        <f t="shared" si="1"/>
        <v>0.0324</v>
      </c>
    </row>
    <row r="65" ht="22" customHeight="1" spans="1:6">
      <c r="A65" s="12">
        <v>29</v>
      </c>
      <c r="B65" s="14">
        <v>0.14</v>
      </c>
      <c r="C65" s="14">
        <v>0.3</v>
      </c>
      <c r="D65" s="14">
        <v>0.36</v>
      </c>
      <c r="E65" s="14">
        <v>0.2</v>
      </c>
      <c r="F65" s="24">
        <f t="shared" si="1"/>
        <v>0.036</v>
      </c>
    </row>
    <row r="66" ht="22" customHeight="1" spans="1:6">
      <c r="A66" s="12">
        <v>30</v>
      </c>
      <c r="B66" s="14">
        <v>0.12</v>
      </c>
      <c r="C66" s="14">
        <v>0.28</v>
      </c>
      <c r="D66" s="14">
        <v>0.37</v>
      </c>
      <c r="E66" s="14">
        <v>0.23</v>
      </c>
      <c r="F66" s="24">
        <f t="shared" si="1"/>
        <v>0.0414</v>
      </c>
    </row>
  </sheetData>
  <mergeCells count="2">
    <mergeCell ref="A1:L1"/>
    <mergeCell ref="A35:L3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showGridLines="0" workbookViewId="0">
      <pane ySplit="1" topLeftCell="A2" activePane="bottomLeft" state="frozen"/>
      <selection/>
      <selection pane="bottomLeft" activeCell="E10" sqref="E10"/>
    </sheetView>
  </sheetViews>
  <sheetFormatPr defaultColWidth="9" defaultRowHeight="13.5" outlineLevelCol="7"/>
  <cols>
    <col min="1" max="1" width="8" customWidth="1"/>
    <col min="2" max="2" width="12" customWidth="1"/>
    <col min="3" max="3" width="42" customWidth="1"/>
    <col min="4" max="8" width="13" customWidth="1"/>
  </cols>
  <sheetData>
    <row r="1" ht="22" customHeight="1" spans="1:8">
      <c r="A1" s="1" t="s">
        <v>186</v>
      </c>
      <c r="B1" s="2"/>
      <c r="C1" s="2"/>
      <c r="D1" s="2"/>
      <c r="E1" s="2"/>
      <c r="F1" s="2"/>
      <c r="G1" s="2"/>
      <c r="H1" s="3"/>
    </row>
    <row r="2" ht="22" customHeight="1"/>
    <row r="3" ht="22" customHeight="1" spans="1:8">
      <c r="A3" s="4" t="s">
        <v>176</v>
      </c>
      <c r="B3" s="4" t="s">
        <v>187</v>
      </c>
      <c r="C3" s="4" t="s">
        <v>188</v>
      </c>
    </row>
    <row r="4" ht="22" customHeight="1" spans="1:8">
      <c r="A4" s="10">
        <v>1</v>
      </c>
      <c r="B4" s="10">
        <v>5</v>
      </c>
      <c r="C4" s="5" t="s">
        <v>189</v>
      </c>
    </row>
    <row r="5" ht="22" customHeight="1" spans="1:8">
      <c r="A5" s="10">
        <v>2</v>
      </c>
      <c r="B5" s="10">
        <v>5</v>
      </c>
      <c r="C5" s="5" t="s">
        <v>189</v>
      </c>
    </row>
    <row r="6" ht="22" customHeight="1" spans="1:8">
      <c r="A6" s="10">
        <v>3</v>
      </c>
      <c r="B6" s="10">
        <v>5</v>
      </c>
      <c r="C6" s="5" t="s">
        <v>189</v>
      </c>
    </row>
    <row r="7" ht="22" customHeight="1" spans="1:8">
      <c r="A7" s="10">
        <v>4</v>
      </c>
      <c r="B7" s="10">
        <v>5</v>
      </c>
      <c r="C7" s="5" t="s">
        <v>189</v>
      </c>
    </row>
    <row r="8" ht="22" customHeight="1" spans="1:8">
      <c r="A8" s="10">
        <v>5</v>
      </c>
      <c r="B8" s="10">
        <v>10</v>
      </c>
      <c r="C8" s="5" t="s">
        <v>190</v>
      </c>
    </row>
    <row r="9" ht="22" customHeight="1" spans="1:8">
      <c r="A9" s="10">
        <v>6</v>
      </c>
      <c r="B9" s="10">
        <v>10</v>
      </c>
      <c r="C9" s="5" t="s">
        <v>190</v>
      </c>
    </row>
    <row r="10" ht="22" customHeight="1" spans="1:8">
      <c r="A10" s="10">
        <v>7</v>
      </c>
      <c r="B10" s="10">
        <v>10</v>
      </c>
      <c r="C10" s="5" t="s">
        <v>190</v>
      </c>
    </row>
    <row r="11" ht="22" customHeight="1" spans="1:8">
      <c r="A11" s="10">
        <v>8</v>
      </c>
      <c r="B11" s="10">
        <v>15</v>
      </c>
      <c r="C11" s="5" t="s">
        <v>191</v>
      </c>
    </row>
    <row r="12" ht="22" customHeight="1" spans="1:8">
      <c r="A12" s="10">
        <v>9</v>
      </c>
      <c r="B12" s="10">
        <v>15</v>
      </c>
      <c r="C12" s="5" t="s">
        <v>191</v>
      </c>
    </row>
    <row r="13" ht="22" customHeight="1" spans="1:8">
      <c r="A13" s="10">
        <v>10</v>
      </c>
      <c r="B13" s="10">
        <v>20</v>
      </c>
      <c r="C13" s="5" t="s">
        <v>192</v>
      </c>
    </row>
    <row r="14" ht="22" customHeight="1" spans="1:8">
      <c r="A14" s="10">
        <v>11</v>
      </c>
      <c r="B14" s="10">
        <v>20</v>
      </c>
      <c r="C14" s="5" t="s">
        <v>192</v>
      </c>
    </row>
    <row r="15" ht="22" customHeight="1" spans="1:8">
      <c r="A15" s="10">
        <v>12</v>
      </c>
      <c r="B15" s="10">
        <v>25</v>
      </c>
      <c r="C15" s="5" t="s">
        <v>193</v>
      </c>
    </row>
    <row r="16" ht="22" customHeight="1" spans="1:8">
      <c r="A16" s="10">
        <v>13</v>
      </c>
      <c r="B16" s="10">
        <v>25</v>
      </c>
      <c r="C16" s="5" t="s">
        <v>193</v>
      </c>
    </row>
    <row r="17" ht="22" customHeight="1" spans="1:3">
      <c r="A17" s="10">
        <v>14</v>
      </c>
      <c r="B17" s="10">
        <v>30</v>
      </c>
      <c r="C17" s="5" t="s">
        <v>194</v>
      </c>
    </row>
    <row r="18" ht="22" customHeight="1" spans="1:3">
      <c r="A18" s="10">
        <v>15</v>
      </c>
      <c r="B18" s="10">
        <v>30</v>
      </c>
      <c r="C18" s="5" t="s">
        <v>194</v>
      </c>
    </row>
    <row r="19" ht="22" customHeight="1" spans="1:3">
      <c r="A19" s="10">
        <v>16</v>
      </c>
      <c r="B19" s="10">
        <v>35</v>
      </c>
      <c r="C19" s="5" t="s">
        <v>195</v>
      </c>
    </row>
    <row r="20" ht="22" customHeight="1" spans="1:3">
      <c r="A20" s="10">
        <v>17</v>
      </c>
      <c r="B20" s="10">
        <v>35</v>
      </c>
      <c r="C20" s="5" t="s">
        <v>195</v>
      </c>
    </row>
    <row r="21" ht="22" customHeight="1" spans="1:3">
      <c r="A21" s="10">
        <v>18</v>
      </c>
      <c r="B21" s="10">
        <v>40</v>
      </c>
      <c r="C21" s="5" t="s">
        <v>196</v>
      </c>
    </row>
    <row r="22" ht="22" customHeight="1" spans="1:3">
      <c r="A22" s="10">
        <v>19</v>
      </c>
      <c r="B22" s="10">
        <v>40</v>
      </c>
      <c r="C22" s="5" t="s">
        <v>196</v>
      </c>
    </row>
    <row r="23" ht="22" customHeight="1" spans="1:3">
      <c r="A23" s="10">
        <v>20</v>
      </c>
      <c r="B23" s="10">
        <v>45</v>
      </c>
      <c r="C23" s="5" t="s">
        <v>197</v>
      </c>
    </row>
    <row r="24" ht="22" customHeight="1" spans="1:3">
      <c r="A24" s="10">
        <v>21</v>
      </c>
      <c r="B24" s="10">
        <v>45</v>
      </c>
      <c r="C24" s="5" t="s">
        <v>197</v>
      </c>
    </row>
    <row r="25" ht="22" customHeight="1" spans="1:3">
      <c r="A25" s="10">
        <v>22</v>
      </c>
      <c r="B25" s="10">
        <v>50</v>
      </c>
      <c r="C25" s="5" t="s">
        <v>198</v>
      </c>
    </row>
    <row r="26" ht="22" customHeight="1" spans="1:3">
      <c r="A26" s="10">
        <v>23</v>
      </c>
      <c r="B26" s="10">
        <v>50</v>
      </c>
      <c r="C26" s="5" t="s">
        <v>198</v>
      </c>
    </row>
    <row r="27" ht="22" customHeight="1" spans="1:3">
      <c r="A27" s="10">
        <v>24</v>
      </c>
      <c r="B27" s="10">
        <v>55</v>
      </c>
      <c r="C27" s="5" t="s">
        <v>199</v>
      </c>
    </row>
    <row r="28" ht="22" customHeight="1" spans="1:3">
      <c r="A28" s="10">
        <v>25</v>
      </c>
      <c r="B28" s="10">
        <v>55</v>
      </c>
      <c r="C28" s="5" t="s">
        <v>199</v>
      </c>
    </row>
    <row r="29" ht="22" customHeight="1" spans="1:3">
      <c r="A29" s="10">
        <v>26</v>
      </c>
      <c r="B29" s="10">
        <v>55</v>
      </c>
      <c r="C29" s="5" t="s">
        <v>199</v>
      </c>
    </row>
    <row r="30" ht="22" customHeight="1" spans="1:3">
      <c r="A30" s="10">
        <v>27</v>
      </c>
      <c r="B30" s="10">
        <v>60</v>
      </c>
      <c r="C30" s="5" t="s">
        <v>200</v>
      </c>
    </row>
    <row r="31" ht="22" customHeight="1" spans="1:3">
      <c r="A31" s="10">
        <v>28</v>
      </c>
      <c r="B31" s="10">
        <v>60</v>
      </c>
      <c r="C31" s="5" t="s">
        <v>200</v>
      </c>
    </row>
    <row r="32" ht="22" customHeight="1" spans="1:3">
      <c r="A32" s="10">
        <v>29</v>
      </c>
      <c r="B32" s="10">
        <v>60</v>
      </c>
      <c r="C32" s="5" t="s">
        <v>200</v>
      </c>
    </row>
    <row r="33" ht="22" customHeight="1" spans="1:3">
      <c r="A33" s="10">
        <v>30</v>
      </c>
      <c r="B33" s="10">
        <v>60</v>
      </c>
      <c r="C33" s="5" t="s">
        <v>200</v>
      </c>
    </row>
  </sheetData>
  <mergeCells count="1">
    <mergeCell ref="A1:H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showGridLines="0" workbookViewId="0">
      <pane ySplit="1" topLeftCell="A4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18" customWidth="1"/>
    <col min="2" max="2" width="12" customWidth="1"/>
    <col min="3" max="3" width="48" customWidth="1"/>
    <col min="4" max="8" width="13" customWidth="1"/>
  </cols>
  <sheetData>
    <row r="1" ht="22" customHeight="1" spans="1:8">
      <c r="A1" s="1" t="s">
        <v>201</v>
      </c>
      <c r="B1" s="2"/>
      <c r="C1" s="2"/>
      <c r="D1" s="2"/>
      <c r="E1" s="2"/>
      <c r="F1" s="2"/>
      <c r="G1" s="2"/>
      <c r="H1" s="3"/>
    </row>
    <row r="2" ht="22" customHeight="1"/>
    <row r="3" ht="22" customHeight="1" spans="1:8">
      <c r="A3" s="4" t="s">
        <v>176</v>
      </c>
      <c r="B3" s="4" t="s">
        <v>202</v>
      </c>
      <c r="C3" s="4" t="s">
        <v>203</v>
      </c>
    </row>
    <row r="4" ht="22" customHeight="1" spans="1:8">
      <c r="A4" s="10">
        <v>1</v>
      </c>
      <c r="B4" s="5" t="s">
        <v>204</v>
      </c>
      <c r="C4" s="5" t="s">
        <v>205</v>
      </c>
    </row>
    <row r="5" ht="22" customHeight="1" spans="1:8">
      <c r="A5" s="10">
        <v>2</v>
      </c>
      <c r="B5" s="5" t="s">
        <v>204</v>
      </c>
      <c r="C5" s="5" t="s">
        <v>206</v>
      </c>
    </row>
    <row r="6" ht="22" customHeight="1" spans="1:8">
      <c r="A6" s="10">
        <v>3</v>
      </c>
      <c r="B6" s="5" t="s">
        <v>204</v>
      </c>
      <c r="C6" s="5" t="s">
        <v>207</v>
      </c>
    </row>
    <row r="7" ht="22" customHeight="1" spans="1:8">
      <c r="A7" s="10">
        <v>4</v>
      </c>
      <c r="B7" s="5" t="s">
        <v>204</v>
      </c>
      <c r="C7" s="5" t="s">
        <v>208</v>
      </c>
    </row>
    <row r="8" ht="22" customHeight="1" spans="1:8">
      <c r="A8" s="10">
        <v>5</v>
      </c>
      <c r="B8" s="5" t="s">
        <v>204</v>
      </c>
      <c r="C8" s="5" t="s">
        <v>206</v>
      </c>
    </row>
    <row r="9" ht="22" customHeight="1" spans="1:8">
      <c r="A9" s="10">
        <v>6</v>
      </c>
      <c r="B9" s="5" t="s">
        <v>204</v>
      </c>
      <c r="C9" s="5" t="s">
        <v>209</v>
      </c>
    </row>
    <row r="10" ht="22" customHeight="1" spans="1:8">
      <c r="A10" s="10">
        <v>7</v>
      </c>
      <c r="B10" s="5" t="s">
        <v>204</v>
      </c>
      <c r="C10" s="5" t="s">
        <v>210</v>
      </c>
    </row>
    <row r="11" ht="22" customHeight="1" spans="1:8">
      <c r="A11" s="10">
        <v>8</v>
      </c>
      <c r="B11" s="5" t="s">
        <v>204</v>
      </c>
      <c r="C11" s="5" t="s">
        <v>211</v>
      </c>
    </row>
    <row r="12" ht="22" customHeight="1" spans="1:8">
      <c r="A12" s="10">
        <v>9</v>
      </c>
      <c r="B12" s="5" t="s">
        <v>204</v>
      </c>
      <c r="C12" s="5" t="s">
        <v>211</v>
      </c>
    </row>
    <row r="13" ht="22" customHeight="1" spans="1:8">
      <c r="A13" s="10">
        <v>10</v>
      </c>
      <c r="B13" s="5" t="s">
        <v>204</v>
      </c>
      <c r="C13" s="5" t="s">
        <v>212</v>
      </c>
    </row>
    <row r="14" ht="22" customHeight="1" spans="1:8">
      <c r="A14" s="10">
        <v>11</v>
      </c>
      <c r="B14" s="5" t="s">
        <v>204</v>
      </c>
      <c r="C14" s="5" t="s">
        <v>213</v>
      </c>
    </row>
    <row r="15" ht="22" customHeight="1" spans="1:8">
      <c r="A15" s="10">
        <v>12</v>
      </c>
      <c r="B15" s="5" t="s">
        <v>204</v>
      </c>
      <c r="C15" s="5" t="s">
        <v>211</v>
      </c>
    </row>
    <row r="16" ht="22" customHeight="1" spans="1:8">
      <c r="A16" s="10">
        <v>13</v>
      </c>
      <c r="B16" s="5" t="s">
        <v>204</v>
      </c>
      <c r="C16" s="5" t="s">
        <v>214</v>
      </c>
    </row>
    <row r="17" ht="22" customHeight="1" spans="1:3">
      <c r="A17" s="10">
        <v>14</v>
      </c>
      <c r="B17" s="5" t="s">
        <v>204</v>
      </c>
      <c r="C17" s="5" t="s">
        <v>215</v>
      </c>
    </row>
    <row r="18" ht="22" customHeight="1" spans="1:3">
      <c r="A18" s="10">
        <v>15</v>
      </c>
      <c r="B18" s="5" t="s">
        <v>204</v>
      </c>
      <c r="C18" s="5" t="s">
        <v>216</v>
      </c>
    </row>
    <row r="19" ht="22" customHeight="1" spans="1:3">
      <c r="A19" s="10">
        <v>16</v>
      </c>
      <c r="B19" s="5" t="s">
        <v>204</v>
      </c>
      <c r="C19" s="5" t="s">
        <v>217</v>
      </c>
    </row>
    <row r="20" ht="22" customHeight="1" spans="1:3">
      <c r="A20" s="10">
        <v>17</v>
      </c>
      <c r="B20" s="5" t="s">
        <v>204</v>
      </c>
      <c r="C20" s="5" t="s">
        <v>215</v>
      </c>
    </row>
    <row r="21" ht="22" customHeight="1" spans="1:3">
      <c r="A21" s="10">
        <v>18</v>
      </c>
      <c r="B21" s="5" t="s">
        <v>204</v>
      </c>
      <c r="C21" s="5" t="s">
        <v>218</v>
      </c>
    </row>
    <row r="22" ht="22" customHeight="1" spans="1:3">
      <c r="A22" s="10">
        <v>19</v>
      </c>
      <c r="B22" s="5" t="s">
        <v>204</v>
      </c>
      <c r="C22" s="5" t="s">
        <v>219</v>
      </c>
    </row>
    <row r="23" ht="22" customHeight="1" spans="1:3">
      <c r="A23" s="10">
        <v>20</v>
      </c>
      <c r="B23" s="5" t="s">
        <v>204</v>
      </c>
      <c r="C23" s="5" t="s">
        <v>220</v>
      </c>
    </row>
    <row r="24" ht="22" customHeight="1" spans="1:3">
      <c r="A24" s="10">
        <v>21</v>
      </c>
      <c r="B24" s="5" t="s">
        <v>204</v>
      </c>
      <c r="C24" s="5" t="s">
        <v>221</v>
      </c>
    </row>
    <row r="25" ht="22" customHeight="1" spans="1:3">
      <c r="A25" s="10">
        <v>22</v>
      </c>
      <c r="B25" s="5" t="s">
        <v>204</v>
      </c>
      <c r="C25" s="5" t="s">
        <v>219</v>
      </c>
    </row>
    <row r="26" ht="22" customHeight="1" spans="1:3">
      <c r="A26" s="10">
        <v>23</v>
      </c>
      <c r="B26" s="5" t="s">
        <v>204</v>
      </c>
      <c r="C26" s="5" t="s">
        <v>222</v>
      </c>
    </row>
    <row r="27" ht="22" customHeight="1" spans="1:3">
      <c r="A27" s="10">
        <v>24</v>
      </c>
      <c r="B27" s="5" t="s">
        <v>204</v>
      </c>
      <c r="C27" s="5" t="s">
        <v>219</v>
      </c>
    </row>
    <row r="28" ht="22" customHeight="1" spans="1:3">
      <c r="A28" s="10">
        <v>25</v>
      </c>
      <c r="B28" s="5" t="s">
        <v>204</v>
      </c>
      <c r="C28" s="5" t="s">
        <v>223</v>
      </c>
    </row>
    <row r="29" ht="22" customHeight="1" spans="1:3">
      <c r="A29" s="10">
        <v>26</v>
      </c>
      <c r="B29" s="5" t="s">
        <v>204</v>
      </c>
      <c r="C29" s="5" t="s">
        <v>224</v>
      </c>
    </row>
    <row r="30" ht="22" customHeight="1" spans="1:3">
      <c r="A30" s="10">
        <v>27</v>
      </c>
      <c r="B30" s="5" t="s">
        <v>204</v>
      </c>
      <c r="C30" s="5" t="s">
        <v>225</v>
      </c>
    </row>
    <row r="31" ht="22" customHeight="1" spans="1:3">
      <c r="A31" s="10">
        <v>28</v>
      </c>
      <c r="B31" s="5" t="s">
        <v>204</v>
      </c>
      <c r="C31" s="5" t="s">
        <v>226</v>
      </c>
    </row>
    <row r="32" ht="22" customHeight="1" spans="1:3">
      <c r="A32" s="10">
        <v>29</v>
      </c>
      <c r="B32" s="5" t="s">
        <v>204</v>
      </c>
      <c r="C32" s="5" t="s">
        <v>225</v>
      </c>
    </row>
    <row r="33" ht="22" customHeight="1" spans="1:6">
      <c r="A33" s="10">
        <v>30</v>
      </c>
      <c r="B33" s="5" t="s">
        <v>204</v>
      </c>
      <c r="C33" s="5" t="s">
        <v>227</v>
      </c>
    </row>
    <row r="34" ht="22" customHeight="1"/>
    <row r="35" ht="22" customHeight="1" spans="1:6">
      <c r="A35" s="6" t="s">
        <v>228</v>
      </c>
      <c r="B35" s="2"/>
      <c r="C35" s="2"/>
      <c r="D35" s="2"/>
      <c r="E35" s="2"/>
      <c r="F35" s="3"/>
    </row>
    <row r="36" ht="22" customHeight="1" spans="1:6">
      <c r="A36" s="4" t="s">
        <v>229</v>
      </c>
      <c r="B36" s="4" t="s">
        <v>230</v>
      </c>
    </row>
    <row r="37" ht="22" customHeight="1" spans="1:6">
      <c r="A37" s="5" t="s">
        <v>231</v>
      </c>
      <c r="B37" s="10">
        <v>30</v>
      </c>
    </row>
    <row r="38" ht="22" customHeight="1" spans="1:6">
      <c r="A38" s="5" t="s">
        <v>166</v>
      </c>
      <c r="B38" s="10">
        <v>12</v>
      </c>
    </row>
    <row r="39" ht="22" customHeight="1" spans="1:6">
      <c r="A39" s="5" t="s">
        <v>168</v>
      </c>
      <c r="B39" s="10">
        <v>15</v>
      </c>
    </row>
    <row r="40" ht="22" customHeight="1" spans="1:6">
      <c r="A40" s="5" t="s">
        <v>170</v>
      </c>
      <c r="B40" s="10">
        <v>3</v>
      </c>
    </row>
    <row r="41" ht="22" customHeight="1" spans="1:6">
      <c r="A41" s="5" t="s">
        <v>65</v>
      </c>
      <c r="B41" s="10">
        <v>18</v>
      </c>
    </row>
  </sheetData>
  <mergeCells count="2">
    <mergeCell ref="A1:H1"/>
    <mergeCell ref="A35:F35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showGridLines="0" workbookViewId="0">
      <pane ySplit="2" topLeftCell="A3" activePane="bottomLeft" state="frozen"/>
      <selection/>
      <selection pane="bottomLeft" activeCell="C42" sqref="C42"/>
    </sheetView>
  </sheetViews>
  <sheetFormatPr defaultColWidth="9" defaultRowHeight="13.5" outlineLevelCol="4"/>
  <cols>
    <col min="1" max="1" width="14" customWidth="1"/>
    <col min="2" max="4" width="20" customWidth="1"/>
    <col min="5" max="5" width="30" customWidth="1"/>
    <col min="6" max="10" width="12" customWidth="1"/>
  </cols>
  <sheetData>
    <row r="1" ht="22" customHeight="1" spans="1:5">
      <c r="A1" s="19" t="s">
        <v>232</v>
      </c>
      <c r="B1" s="19"/>
      <c r="C1" s="19"/>
      <c r="D1" s="19"/>
      <c r="E1" s="19"/>
    </row>
    <row r="2" ht="22" customHeight="1" spans="1:5">
      <c r="A2" s="9"/>
      <c r="B2" s="9"/>
      <c r="C2" s="9"/>
      <c r="D2" s="9"/>
      <c r="E2" s="9"/>
    </row>
    <row r="3" ht="22" customHeight="1" spans="1:5">
      <c r="A3" s="20" t="s">
        <v>1</v>
      </c>
      <c r="B3" s="20" t="s">
        <v>74</v>
      </c>
      <c r="C3" s="20"/>
      <c r="D3" s="20"/>
      <c r="E3" s="20"/>
    </row>
    <row r="4" ht="22" customHeight="1" spans="1:5">
      <c r="A4" s="9" t="s">
        <v>233</v>
      </c>
      <c r="B4" s="9" t="s">
        <v>234</v>
      </c>
      <c r="C4" s="9"/>
      <c r="D4" s="9"/>
      <c r="E4" s="9"/>
    </row>
    <row r="5" ht="22" customHeight="1" spans="1:5">
      <c r="A5" s="9" t="s">
        <v>235</v>
      </c>
      <c r="B5" s="9" t="s">
        <v>236</v>
      </c>
      <c r="C5" s="9"/>
      <c r="D5" s="9"/>
      <c r="E5" s="9"/>
    </row>
    <row r="6" ht="22" customHeight="1" spans="1:5">
      <c r="A6" s="9" t="s">
        <v>237</v>
      </c>
      <c r="B6" s="9" t="s">
        <v>238</v>
      </c>
      <c r="C6" s="9"/>
      <c r="D6" s="9"/>
      <c r="E6" s="9"/>
    </row>
    <row r="7" ht="22" customHeight="1" spans="1:5">
      <c r="A7" s="9" t="s">
        <v>239</v>
      </c>
      <c r="B7" s="9" t="s">
        <v>240</v>
      </c>
      <c r="C7" s="9"/>
      <c r="D7" s="9"/>
      <c r="E7" s="9"/>
    </row>
    <row r="8" ht="22" customHeight="1" spans="1:5">
      <c r="A8" s="9" t="s">
        <v>241</v>
      </c>
      <c r="B8" s="9" t="s">
        <v>242</v>
      </c>
      <c r="C8" s="9"/>
      <c r="D8" s="9"/>
      <c r="E8" s="9"/>
    </row>
    <row r="9" ht="22" customHeight="1" spans="1:5">
      <c r="A9" s="9" t="s">
        <v>243</v>
      </c>
      <c r="B9" s="9" t="s">
        <v>244</v>
      </c>
      <c r="C9" s="9"/>
      <c r="D9" s="9"/>
      <c r="E9" s="9"/>
    </row>
    <row r="10" ht="22" customHeight="1" spans="1:5">
      <c r="A10" s="9" t="s">
        <v>245</v>
      </c>
      <c r="B10" s="9" t="s">
        <v>246</v>
      </c>
      <c r="C10" s="9"/>
      <c r="D10" s="9"/>
      <c r="E10" s="9"/>
    </row>
    <row r="11" ht="22" customHeight="1" spans="1:5">
      <c r="A11" s="9" t="s">
        <v>247</v>
      </c>
      <c r="B11" s="9" t="s">
        <v>248</v>
      </c>
      <c r="C11" s="9"/>
      <c r="D11" s="9"/>
      <c r="E11" s="9"/>
    </row>
    <row r="12" ht="22" customHeight="1" spans="1:5">
      <c r="A12" s="9" t="s">
        <v>249</v>
      </c>
      <c r="B12" s="9" t="s">
        <v>250</v>
      </c>
      <c r="C12" s="9"/>
      <c r="D12" s="9"/>
      <c r="E12" s="9"/>
    </row>
    <row r="13" ht="22" customHeight="1" spans="1:5">
      <c r="A13" s="9" t="s">
        <v>251</v>
      </c>
      <c r="B13" s="9" t="s">
        <v>252</v>
      </c>
      <c r="C13" s="9"/>
      <c r="D13" s="9"/>
      <c r="E13" s="9"/>
    </row>
    <row r="14" ht="22" customHeight="1" spans="1:5">
      <c r="A14" s="9" t="s">
        <v>138</v>
      </c>
      <c r="B14" s="9" t="s">
        <v>253</v>
      </c>
      <c r="C14" s="9"/>
      <c r="D14" s="9"/>
      <c r="E14" s="9"/>
    </row>
    <row r="15" ht="22" customHeight="1" spans="1:5">
      <c r="A15" s="9" t="s">
        <v>254</v>
      </c>
      <c r="B15" s="9" t="s">
        <v>255</v>
      </c>
      <c r="C15" s="9"/>
      <c r="D15" s="9"/>
      <c r="E15" s="9"/>
    </row>
    <row r="16" ht="22" customHeight="1" spans="1:5">
      <c r="A16" s="9"/>
      <c r="B16" s="9"/>
      <c r="C16" s="9"/>
      <c r="D16" s="9"/>
      <c r="E16" s="9"/>
    </row>
    <row r="17" ht="22" customHeight="1" spans="1:5">
      <c r="A17" s="21" t="s">
        <v>256</v>
      </c>
      <c r="B17" s="21"/>
      <c r="C17" s="21"/>
      <c r="D17" s="21"/>
      <c r="E17" s="21"/>
    </row>
    <row r="18" ht="22" customHeight="1" spans="1:5">
      <c r="A18" s="20" t="s">
        <v>257</v>
      </c>
      <c r="B18" s="20" t="s">
        <v>258</v>
      </c>
      <c r="C18" s="20" t="s">
        <v>259</v>
      </c>
      <c r="D18" s="20" t="s">
        <v>260</v>
      </c>
      <c r="E18" s="20" t="s">
        <v>261</v>
      </c>
    </row>
    <row r="19" ht="22" customHeight="1" spans="1:5">
      <c r="A19" s="9">
        <v>1</v>
      </c>
      <c r="B19" s="9">
        <v>10</v>
      </c>
      <c r="C19" s="9" t="s">
        <v>262</v>
      </c>
      <c r="D19" s="9">
        <v>10</v>
      </c>
      <c r="E19" s="9" t="s">
        <v>252</v>
      </c>
    </row>
    <row r="20" ht="22" customHeight="1" spans="1:5">
      <c r="A20" s="9">
        <v>2</v>
      </c>
      <c r="B20" s="9">
        <v>20</v>
      </c>
      <c r="C20" s="9" t="s">
        <v>263</v>
      </c>
      <c r="D20" s="9">
        <v>10</v>
      </c>
      <c r="E20" s="9" t="s">
        <v>264</v>
      </c>
    </row>
    <row r="21" ht="22" customHeight="1" spans="1:5">
      <c r="A21" s="9">
        <v>3</v>
      </c>
      <c r="B21" s="9">
        <v>30</v>
      </c>
      <c r="C21" s="9" t="s">
        <v>265</v>
      </c>
      <c r="D21" s="9">
        <v>20</v>
      </c>
      <c r="E21" s="9" t="s">
        <v>264</v>
      </c>
    </row>
    <row r="22" ht="22" customHeight="1" spans="1:5">
      <c r="A22" s="9">
        <v>4</v>
      </c>
      <c r="B22" s="9">
        <v>40</v>
      </c>
      <c r="C22" s="9" t="s">
        <v>266</v>
      </c>
      <c r="D22" s="9">
        <v>30</v>
      </c>
      <c r="E22" s="9" t="s">
        <v>264</v>
      </c>
    </row>
    <row r="23" ht="22" customHeight="1" spans="1:5">
      <c r="A23" s="9">
        <v>5</v>
      </c>
      <c r="B23" s="9">
        <v>45</v>
      </c>
      <c r="C23" s="9" t="s">
        <v>267</v>
      </c>
      <c r="D23" s="9">
        <v>40</v>
      </c>
      <c r="E23" s="9" t="s">
        <v>268</v>
      </c>
    </row>
    <row r="24" ht="22" customHeight="1" spans="1:5">
      <c r="A24" s="9">
        <v>6</v>
      </c>
      <c r="B24" s="9">
        <v>50</v>
      </c>
      <c r="C24" s="9" t="s">
        <v>269</v>
      </c>
      <c r="D24" s="9">
        <v>45</v>
      </c>
      <c r="E24" s="9" t="s">
        <v>268</v>
      </c>
    </row>
    <row r="25" ht="22" customHeight="1" spans="1:5">
      <c r="A25" s="9">
        <v>7</v>
      </c>
      <c r="B25" s="9">
        <v>55</v>
      </c>
      <c r="C25" s="9" t="s">
        <v>270</v>
      </c>
      <c r="D25" s="9">
        <v>50</v>
      </c>
      <c r="E25" s="9" t="s">
        <v>268</v>
      </c>
    </row>
    <row r="26" ht="22" customHeight="1" spans="1:5">
      <c r="A26" s="9">
        <v>8</v>
      </c>
      <c r="B26" s="9">
        <v>60</v>
      </c>
      <c r="C26" s="9" t="s">
        <v>271</v>
      </c>
      <c r="D26" s="9">
        <v>55</v>
      </c>
      <c r="E26" s="9" t="s">
        <v>268</v>
      </c>
    </row>
    <row r="27" ht="22" customHeight="1" spans="1:5">
      <c r="A27" s="9"/>
      <c r="B27" s="9"/>
      <c r="C27" s="9"/>
      <c r="D27" s="9"/>
      <c r="E27" s="9"/>
    </row>
    <row r="28" ht="22" customHeight="1" spans="1:5">
      <c r="A28" s="21" t="s">
        <v>272</v>
      </c>
      <c r="B28" s="21"/>
      <c r="C28" s="21"/>
      <c r="D28" s="21"/>
      <c r="E28" s="21"/>
    </row>
    <row r="29" ht="22" customHeight="1" spans="1:5">
      <c r="A29" s="20" t="s">
        <v>257</v>
      </c>
      <c r="B29" s="20" t="s">
        <v>273</v>
      </c>
      <c r="C29" s="20" t="s">
        <v>274</v>
      </c>
      <c r="D29" s="20"/>
      <c r="E29" s="20"/>
    </row>
    <row r="30" ht="22" customHeight="1" spans="1:5">
      <c r="A30" s="9">
        <v>1</v>
      </c>
      <c r="B30" s="9">
        <v>10</v>
      </c>
      <c r="C30" s="9">
        <v>200</v>
      </c>
      <c r="D30" s="9"/>
      <c r="E30" s="9"/>
    </row>
    <row r="31" ht="22" customHeight="1" spans="1:5">
      <c r="A31" s="9">
        <v>2</v>
      </c>
      <c r="B31" s="9">
        <v>20</v>
      </c>
      <c r="C31" s="9">
        <v>700</v>
      </c>
      <c r="D31" s="9"/>
      <c r="E31" s="9"/>
    </row>
    <row r="32" ht="22" customHeight="1" spans="1:5">
      <c r="A32" s="9">
        <v>3</v>
      </c>
      <c r="B32" s="9">
        <v>30</v>
      </c>
      <c r="C32" s="9">
        <v>2000</v>
      </c>
      <c r="D32" s="9"/>
      <c r="E32" s="9"/>
    </row>
    <row r="33" ht="22" customHeight="1" spans="1:5">
      <c r="A33" s="9">
        <v>4</v>
      </c>
      <c r="B33" s="9">
        <v>40</v>
      </c>
      <c r="C33" s="9">
        <v>5000</v>
      </c>
      <c r="D33" s="9"/>
      <c r="E33" s="9"/>
    </row>
    <row r="34" ht="22" customHeight="1" spans="1:5">
      <c r="A34" s="9">
        <v>5</v>
      </c>
      <c r="B34" s="9">
        <v>45</v>
      </c>
      <c r="C34" s="9">
        <v>7600</v>
      </c>
      <c r="D34" s="9"/>
      <c r="E34" s="9"/>
    </row>
    <row r="35" ht="22" customHeight="1" spans="1:5">
      <c r="A35" s="9">
        <v>6</v>
      </c>
      <c r="B35" s="9">
        <v>50</v>
      </c>
      <c r="C35" s="9">
        <v>11000</v>
      </c>
      <c r="D35" s="9"/>
      <c r="E35" s="9"/>
    </row>
    <row r="36" ht="22" customHeight="1" spans="1:5">
      <c r="A36" s="9">
        <v>7</v>
      </c>
      <c r="B36" s="9">
        <v>55</v>
      </c>
      <c r="C36" s="9">
        <v>15000</v>
      </c>
      <c r="D36" s="9"/>
      <c r="E36" s="9"/>
    </row>
    <row r="37" ht="22" customHeight="1" spans="1:5">
      <c r="A37" s="9">
        <v>8</v>
      </c>
      <c r="B37" s="9">
        <v>60</v>
      </c>
      <c r="C37" s="9">
        <v>20000</v>
      </c>
      <c r="D37" s="9"/>
      <c r="E37" s="9"/>
    </row>
    <row r="38" ht="22" customHeight="1" spans="1:5">
      <c r="A38" s="9"/>
      <c r="B38" s="9"/>
      <c r="C38" s="9"/>
      <c r="D38" s="9"/>
      <c r="E38" s="9"/>
    </row>
    <row r="39" ht="22" customHeight="1" spans="1:5">
      <c r="A39" s="21" t="s">
        <v>275</v>
      </c>
      <c r="B39" s="21"/>
      <c r="C39" s="21"/>
      <c r="D39" s="21"/>
      <c r="E39" s="21"/>
    </row>
    <row r="40" ht="22" customHeight="1" spans="1:5">
      <c r="A40" s="20" t="s">
        <v>77</v>
      </c>
      <c r="B40" s="20" t="s">
        <v>276</v>
      </c>
      <c r="C40" s="20"/>
      <c r="D40" s="20"/>
      <c r="E40" s="20"/>
    </row>
    <row r="41" ht="22" customHeight="1" spans="1:5">
      <c r="A41" s="9" t="s">
        <v>86</v>
      </c>
      <c r="B41" s="9">
        <v>0.5</v>
      </c>
      <c r="C41" s="9"/>
      <c r="D41" s="9"/>
      <c r="E41" s="9"/>
    </row>
    <row r="42" ht="22" customHeight="1" spans="1:5">
      <c r="A42" s="9" t="s">
        <v>87</v>
      </c>
      <c r="B42" s="9">
        <v>0.7</v>
      </c>
      <c r="C42" s="9"/>
      <c r="D42" s="9"/>
      <c r="E42" s="9"/>
    </row>
    <row r="43" ht="22" customHeight="1" spans="1:5">
      <c r="A43" s="9" t="s">
        <v>88</v>
      </c>
      <c r="B43" s="9">
        <v>1</v>
      </c>
      <c r="C43" s="9"/>
      <c r="D43" s="9"/>
      <c r="E43" s="9"/>
    </row>
    <row r="44" ht="22" customHeight="1" spans="1:5">
      <c r="A44" s="9" t="s">
        <v>89</v>
      </c>
      <c r="B44" s="9">
        <v>1.4</v>
      </c>
      <c r="C44" s="9"/>
      <c r="D44" s="9"/>
      <c r="E44" s="9"/>
    </row>
    <row r="45" ht="22" customHeight="1" spans="1:5">
      <c r="A45" s="9" t="s">
        <v>90</v>
      </c>
      <c r="B45" s="9">
        <v>2</v>
      </c>
      <c r="C45" s="9"/>
      <c r="D45" s="9"/>
      <c r="E45" s="9"/>
    </row>
    <row r="46" ht="22" customHeight="1" spans="1:5">
      <c r="A46" s="9"/>
      <c r="B46" s="9"/>
      <c r="C46" s="9"/>
      <c r="D46" s="9"/>
      <c r="E46" s="9"/>
    </row>
    <row r="47" ht="22" customHeight="1" spans="1:5">
      <c r="A47" s="22" t="s">
        <v>277</v>
      </c>
      <c r="B47" s="22" t="s">
        <v>278</v>
      </c>
      <c r="C47" s="22"/>
      <c r="D47" s="22"/>
      <c r="E47" s="22"/>
    </row>
    <row r="48" ht="22" customHeight="1"/>
    <row r="49" ht="22" customHeight="1"/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showGridLines="0" workbookViewId="0">
      <pane ySplit="1" topLeftCell="A32" activePane="bottomLeft" state="frozen"/>
      <selection/>
      <selection pane="bottomLeft" activeCell="C48" sqref="C48"/>
    </sheetView>
  </sheetViews>
  <sheetFormatPr defaultColWidth="9" defaultRowHeight="13.5" outlineLevelCol="7"/>
  <cols>
    <col min="1" max="1" width="12" customWidth="1"/>
    <col min="2" max="2" width="22" customWidth="1"/>
    <col min="3" max="3" width="10" customWidth="1"/>
    <col min="4" max="4" width="14" customWidth="1"/>
    <col min="5" max="8" width="13" customWidth="1"/>
  </cols>
  <sheetData>
    <row r="1" ht="22" customHeight="1" spans="1:8">
      <c r="A1" s="1" t="s">
        <v>279</v>
      </c>
      <c r="B1" s="2"/>
      <c r="C1" s="2"/>
      <c r="D1" s="2"/>
      <c r="E1" s="2"/>
      <c r="F1" s="2"/>
      <c r="G1" s="2"/>
      <c r="H1" s="3"/>
    </row>
    <row r="2" ht="22" customHeight="1"/>
    <row r="3" ht="22" customHeight="1" spans="1:8">
      <c r="A3" s="4" t="s">
        <v>1</v>
      </c>
      <c r="B3" s="4" t="s">
        <v>74</v>
      </c>
    </row>
    <row r="4" ht="22" customHeight="1" spans="1:8">
      <c r="A4" s="5" t="s">
        <v>280</v>
      </c>
      <c r="B4" s="5" t="s">
        <v>281</v>
      </c>
    </row>
    <row r="5" ht="22" customHeight="1" spans="1:8">
      <c r="A5" s="5" t="s">
        <v>282</v>
      </c>
      <c r="B5" s="5" t="s">
        <v>283</v>
      </c>
    </row>
    <row r="6" ht="22" customHeight="1" spans="1:8">
      <c r="A6" s="5" t="s">
        <v>65</v>
      </c>
      <c r="B6" s="5" t="s">
        <v>281</v>
      </c>
    </row>
    <row r="7" ht="22" customHeight="1" spans="1:8">
      <c r="A7" s="5" t="s">
        <v>284</v>
      </c>
      <c r="B7" s="5" t="s">
        <v>285</v>
      </c>
    </row>
    <row r="8" ht="22" customHeight="1" spans="1:8">
      <c r="A8" s="5" t="s">
        <v>286</v>
      </c>
      <c r="B8" s="5" t="s">
        <v>287</v>
      </c>
    </row>
    <row r="9" ht="22" customHeight="1"/>
    <row r="10" ht="22" customHeight="1" spans="1:8">
      <c r="A10" s="6" t="s">
        <v>288</v>
      </c>
      <c r="B10" s="2"/>
      <c r="C10" s="2"/>
      <c r="D10" s="2"/>
      <c r="E10" s="2"/>
      <c r="F10" s="2"/>
      <c r="G10" s="2"/>
      <c r="H10" s="3"/>
    </row>
    <row r="11" ht="22" customHeight="1" spans="1:8">
      <c r="A11" s="4" t="s">
        <v>75</v>
      </c>
      <c r="B11" s="4" t="s">
        <v>274</v>
      </c>
    </row>
    <row r="12" ht="22" customHeight="1" spans="1:8">
      <c r="A12" s="10">
        <v>5</v>
      </c>
      <c r="B12" s="10">
        <v>1200</v>
      </c>
    </row>
    <row r="13" ht="22" customHeight="1" spans="1:8">
      <c r="A13" s="10">
        <v>10</v>
      </c>
      <c r="B13" s="10">
        <v>1700</v>
      </c>
    </row>
    <row r="14" ht="22" customHeight="1" spans="1:8">
      <c r="A14" s="10">
        <v>15</v>
      </c>
      <c r="B14" s="10">
        <v>2300</v>
      </c>
    </row>
    <row r="15" ht="22" customHeight="1" spans="1:8">
      <c r="A15" s="10">
        <v>20</v>
      </c>
      <c r="B15" s="10">
        <v>2900</v>
      </c>
    </row>
    <row r="16" ht="22" customHeight="1" spans="1:8">
      <c r="A16" s="10">
        <v>25</v>
      </c>
      <c r="B16" s="10">
        <v>3500</v>
      </c>
    </row>
    <row r="17" ht="22" customHeight="1" spans="1:8">
      <c r="A17" s="10">
        <v>30</v>
      </c>
      <c r="B17" s="10">
        <v>4100</v>
      </c>
    </row>
    <row r="18" ht="22" customHeight="1" spans="1:8">
      <c r="A18" s="10">
        <v>35</v>
      </c>
      <c r="B18" s="10">
        <v>4700</v>
      </c>
    </row>
    <row r="19" ht="22" customHeight="1" spans="1:8">
      <c r="A19" s="10">
        <v>40</v>
      </c>
      <c r="B19" s="10">
        <v>5300</v>
      </c>
    </row>
    <row r="20" ht="22" customHeight="1" spans="1:8">
      <c r="A20" s="10">
        <v>45</v>
      </c>
      <c r="B20" s="10">
        <v>6000</v>
      </c>
    </row>
    <row r="21" ht="22" customHeight="1" spans="1:8">
      <c r="A21" s="10">
        <v>50</v>
      </c>
      <c r="B21" s="10">
        <v>7000</v>
      </c>
    </row>
    <row r="22" ht="22" customHeight="1" spans="1:8">
      <c r="A22" s="10">
        <v>55</v>
      </c>
      <c r="B22" s="10">
        <v>8500</v>
      </c>
    </row>
    <row r="23" ht="22" customHeight="1" spans="1:8">
      <c r="A23" s="10">
        <v>60</v>
      </c>
      <c r="B23" s="10">
        <v>10000</v>
      </c>
    </row>
    <row r="24" ht="22" customHeight="1"/>
    <row r="25" ht="22" customHeight="1" spans="1:8">
      <c r="A25" s="4" t="s">
        <v>77</v>
      </c>
      <c r="B25" s="4" t="s">
        <v>276</v>
      </c>
    </row>
    <row r="26" ht="22" customHeight="1" spans="1:8">
      <c r="A26" s="5" t="s">
        <v>86</v>
      </c>
      <c r="B26" s="11">
        <v>0.2</v>
      </c>
    </row>
    <row r="27" ht="22" customHeight="1" spans="1:8">
      <c r="A27" s="5" t="s">
        <v>87</v>
      </c>
      <c r="B27" s="11">
        <v>0.4</v>
      </c>
    </row>
    <row r="28" ht="22" customHeight="1" spans="1:8">
      <c r="A28" s="5" t="s">
        <v>88</v>
      </c>
      <c r="B28" s="11">
        <v>0.8</v>
      </c>
    </row>
    <row r="29" ht="22" customHeight="1" spans="1:8">
      <c r="A29" s="5" t="s">
        <v>89</v>
      </c>
      <c r="B29" s="23">
        <v>1.3</v>
      </c>
    </row>
    <row r="30" ht="22" customHeight="1" spans="1:8">
      <c r="A30" s="5" t="s">
        <v>90</v>
      </c>
      <c r="B30" s="23">
        <v>2</v>
      </c>
    </row>
    <row r="31" ht="22" customHeight="1"/>
    <row r="32" ht="22" customHeight="1" spans="1:8">
      <c r="A32" s="6" t="s">
        <v>289</v>
      </c>
      <c r="B32" s="2"/>
      <c r="C32" s="2"/>
      <c r="D32" s="2"/>
      <c r="E32" s="2"/>
      <c r="F32" s="2"/>
      <c r="G32" s="2"/>
      <c r="H32" s="3"/>
    </row>
    <row r="33" ht="22" customHeight="1" spans="1:4">
      <c r="A33" s="4" t="s">
        <v>290</v>
      </c>
      <c r="B33" s="4" t="s">
        <v>92</v>
      </c>
      <c r="C33" s="4" t="s">
        <v>77</v>
      </c>
      <c r="D33" s="4" t="s">
        <v>288</v>
      </c>
    </row>
    <row r="34" ht="22" customHeight="1" spans="1:4">
      <c r="A34" s="18" t="s">
        <v>291</v>
      </c>
      <c r="B34" s="12">
        <v>30</v>
      </c>
      <c r="C34" s="18" t="s">
        <v>88</v>
      </c>
      <c r="D34" s="17">
        <f t="shared" ref="D34:D40" si="0">VLOOKUP(B34,$A$12:$B$23,2,FALSE)*VLOOKUP(C34,$A$26:$B$30,2,FALSE)</f>
        <v>3280</v>
      </c>
    </row>
    <row r="35" ht="22" customHeight="1" spans="1:4">
      <c r="A35" s="18" t="s">
        <v>292</v>
      </c>
      <c r="B35" s="12">
        <v>30</v>
      </c>
      <c r="C35" s="18" t="s">
        <v>89</v>
      </c>
      <c r="D35" s="17">
        <f t="shared" si="0"/>
        <v>5330</v>
      </c>
    </row>
    <row r="36" ht="22" customHeight="1" spans="1:4">
      <c r="A36" s="18" t="s">
        <v>127</v>
      </c>
      <c r="B36" s="12">
        <v>30</v>
      </c>
      <c r="C36" s="18" t="s">
        <v>90</v>
      </c>
      <c r="D36" s="17">
        <f t="shared" si="0"/>
        <v>8200</v>
      </c>
    </row>
    <row r="37" ht="22" customHeight="1" spans="1:4">
      <c r="A37" s="18" t="s">
        <v>132</v>
      </c>
      <c r="B37" s="12">
        <v>40</v>
      </c>
      <c r="C37" s="18" t="s">
        <v>90</v>
      </c>
      <c r="D37" s="17">
        <f t="shared" si="0"/>
        <v>10600</v>
      </c>
    </row>
    <row r="38" ht="22" customHeight="1" spans="1:4">
      <c r="A38" s="18" t="s">
        <v>135</v>
      </c>
      <c r="B38" s="12">
        <v>50</v>
      </c>
      <c r="C38" s="18" t="s">
        <v>90</v>
      </c>
      <c r="D38" s="17">
        <f t="shared" si="0"/>
        <v>14000</v>
      </c>
    </row>
    <row r="39" ht="22" customHeight="1" spans="1:4">
      <c r="A39" s="18" t="s">
        <v>134</v>
      </c>
      <c r="B39" s="12">
        <v>60</v>
      </c>
      <c r="C39" s="18" t="s">
        <v>89</v>
      </c>
      <c r="D39" s="17">
        <f t="shared" si="0"/>
        <v>13000</v>
      </c>
    </row>
    <row r="40" ht="22" customHeight="1" spans="1:4">
      <c r="A40" s="18" t="s">
        <v>137</v>
      </c>
      <c r="B40" s="12">
        <v>60</v>
      </c>
      <c r="C40" s="18" t="s">
        <v>90</v>
      </c>
      <c r="D40" s="17">
        <f t="shared" si="0"/>
        <v>20000</v>
      </c>
    </row>
    <row r="41" ht="22" customHeight="1"/>
    <row r="42" ht="22" customHeight="1"/>
    <row r="43" ht="22" customHeight="1" spans="1:4">
      <c r="A43" s="4" t="s">
        <v>77</v>
      </c>
      <c r="B43" s="4" t="s">
        <v>293</v>
      </c>
    </row>
    <row r="44" ht="22" customHeight="1" spans="1:4">
      <c r="A44" s="5" t="s">
        <v>86</v>
      </c>
      <c r="B44" s="5" t="s">
        <v>294</v>
      </c>
    </row>
    <row r="45" ht="22" customHeight="1" spans="1:4">
      <c r="A45" s="5" t="s">
        <v>87</v>
      </c>
      <c r="B45" s="5" t="s">
        <v>294</v>
      </c>
    </row>
    <row r="46" ht="22" customHeight="1" spans="1:4">
      <c r="A46" s="5" t="s">
        <v>88</v>
      </c>
      <c r="B46" s="5" t="s">
        <v>294</v>
      </c>
    </row>
    <row r="47" ht="22" customHeight="1" spans="1:4">
      <c r="A47" s="5" t="s">
        <v>89</v>
      </c>
      <c r="B47" s="5" t="s">
        <v>294</v>
      </c>
    </row>
    <row r="48" ht="22" customHeight="1" spans="1:4">
      <c r="A48" s="5" t="s">
        <v>90</v>
      </c>
      <c r="B48" s="5" t="s">
        <v>295</v>
      </c>
    </row>
  </sheetData>
  <mergeCells count="3">
    <mergeCell ref="A1:H1"/>
    <mergeCell ref="A10:H10"/>
    <mergeCell ref="A32:H3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showGridLines="0" workbookViewId="0">
      <pane ySplit="1" topLeftCell="A7" activePane="bottomLeft" state="frozen"/>
      <selection/>
      <selection pane="bottomLeft" activeCell="B4" sqref="B4:B11"/>
    </sheetView>
  </sheetViews>
  <sheetFormatPr defaultColWidth="9" defaultRowHeight="13.5"/>
  <cols>
    <col min="1" max="1" width="14" customWidth="1"/>
    <col min="2" max="4" width="34" customWidth="1"/>
    <col min="5" max="10" width="13" customWidth="1"/>
  </cols>
  <sheetData>
    <row r="1" ht="22" customHeight="1" spans="1:10">
      <c r="A1" s="1" t="s">
        <v>71</v>
      </c>
      <c r="B1" s="2"/>
      <c r="C1" s="2"/>
      <c r="D1" s="2"/>
      <c r="E1" s="2"/>
      <c r="F1" s="2"/>
      <c r="G1" s="2"/>
      <c r="H1" s="2"/>
      <c r="I1" s="2"/>
      <c r="J1" s="3"/>
    </row>
    <row r="2" ht="22" customHeight="1"/>
    <row r="3" ht="22" customHeight="1" spans="1:10">
      <c r="A3" s="4" t="s">
        <v>1</v>
      </c>
      <c r="B3" s="4" t="s">
        <v>74</v>
      </c>
    </row>
    <row r="4" ht="22" customHeight="1" spans="1:10">
      <c r="A4" s="5" t="s">
        <v>296</v>
      </c>
      <c r="B4" s="5" t="s">
        <v>297</v>
      </c>
    </row>
    <row r="5" ht="22" customHeight="1" spans="1:10">
      <c r="A5" s="5" t="s">
        <v>298</v>
      </c>
      <c r="B5" s="5" t="s">
        <v>138</v>
      </c>
    </row>
    <row r="6" ht="33" customHeight="1" spans="1:10">
      <c r="A6" s="5" t="s">
        <v>299</v>
      </c>
      <c r="B6" s="5" t="s">
        <v>300</v>
      </c>
    </row>
    <row r="7" ht="22" customHeight="1" spans="1:10">
      <c r="A7" s="5" t="s">
        <v>301</v>
      </c>
      <c r="B7" s="5" t="s">
        <v>302</v>
      </c>
    </row>
    <row r="8" ht="22" customHeight="1" spans="1:10">
      <c r="A8" s="5" t="s">
        <v>303</v>
      </c>
      <c r="B8" s="5" t="s">
        <v>304</v>
      </c>
    </row>
    <row r="9" ht="22" customHeight="1" spans="1:10">
      <c r="A9" s="5" t="s">
        <v>305</v>
      </c>
      <c r="B9" s="5" t="s">
        <v>306</v>
      </c>
    </row>
    <row r="10" ht="22" customHeight="1" spans="1:10">
      <c r="A10" s="5" t="s">
        <v>307</v>
      </c>
      <c r="B10" s="5" t="s">
        <v>308</v>
      </c>
    </row>
    <row r="11" ht="22" customHeight="1" spans="1:10">
      <c r="A11" s="5" t="s">
        <v>309</v>
      </c>
      <c r="B11" s="5" t="s">
        <v>310</v>
      </c>
    </row>
    <row r="12" ht="22" customHeight="1"/>
    <row r="13" ht="22" customHeight="1" spans="1:10">
      <c r="A13" s="6" t="s">
        <v>311</v>
      </c>
      <c r="B13" s="2"/>
      <c r="C13" s="2"/>
      <c r="D13" s="2"/>
      <c r="E13" s="2"/>
      <c r="F13" s="2"/>
      <c r="G13" s="2"/>
      <c r="H13" s="2"/>
      <c r="I13" s="2"/>
      <c r="J13" s="3"/>
    </row>
    <row r="14" ht="22" customHeight="1" spans="1:10">
      <c r="A14" s="4" t="s">
        <v>312</v>
      </c>
      <c r="B14" s="4" t="s">
        <v>274</v>
      </c>
    </row>
    <row r="15" ht="22" customHeight="1" spans="1:10">
      <c r="A15" s="5" t="s">
        <v>313</v>
      </c>
      <c r="B15" s="10">
        <v>20000</v>
      </c>
    </row>
    <row r="16" ht="22" customHeight="1" spans="1:10">
      <c r="A16" s="5" t="s">
        <v>314</v>
      </c>
      <c r="B16" s="10">
        <v>40000</v>
      </c>
    </row>
    <row r="17" ht="22" customHeight="1" spans="1:10">
      <c r="A17" s="5" t="s">
        <v>315</v>
      </c>
      <c r="B17" s="10">
        <v>70000</v>
      </c>
    </row>
    <row r="18" ht="22" customHeight="1"/>
    <row r="19" ht="22" customHeight="1" spans="1:10">
      <c r="A19" s="6" t="s">
        <v>316</v>
      </c>
      <c r="B19" s="2"/>
      <c r="C19" s="2"/>
      <c r="D19" s="2"/>
      <c r="E19" s="2"/>
      <c r="F19" s="2"/>
      <c r="G19" s="2"/>
      <c r="H19" s="2"/>
      <c r="I19" s="2"/>
      <c r="J19" s="3"/>
    </row>
    <row r="20" ht="22" customHeight="1" spans="1:10">
      <c r="A20" s="4" t="s">
        <v>317</v>
      </c>
      <c r="B20" s="4" t="s">
        <v>318</v>
      </c>
      <c r="C20" s="4" t="s">
        <v>319</v>
      </c>
      <c r="D20" s="4" t="s">
        <v>100</v>
      </c>
    </row>
    <row r="21" ht="22" customHeight="1" spans="1:10">
      <c r="A21" s="10">
        <v>0</v>
      </c>
      <c r="B21" s="10">
        <v>1</v>
      </c>
      <c r="C21" s="23">
        <v>1</v>
      </c>
      <c r="D21" s="5" t="s">
        <v>320</v>
      </c>
    </row>
    <row r="22" ht="22" customHeight="1" spans="1:10">
      <c r="A22" s="10">
        <v>1</v>
      </c>
      <c r="B22" s="10">
        <v>2</v>
      </c>
      <c r="C22" s="23">
        <v>2</v>
      </c>
      <c r="D22" s="5" t="s">
        <v>321</v>
      </c>
    </row>
    <row r="23" ht="22" customHeight="1" spans="1:10">
      <c r="A23" s="10">
        <v>2</v>
      </c>
      <c r="B23" s="10">
        <v>4</v>
      </c>
      <c r="C23" s="23">
        <v>4</v>
      </c>
      <c r="D23" s="5" t="s">
        <v>322</v>
      </c>
    </row>
    <row r="24" ht="22" customHeight="1"/>
    <row r="25" ht="22" customHeight="1" spans="1:10">
      <c r="A25" s="6" t="s">
        <v>323</v>
      </c>
      <c r="B25" s="2"/>
      <c r="C25" s="2"/>
      <c r="D25" s="2"/>
      <c r="E25" s="2"/>
      <c r="F25" s="2"/>
      <c r="G25" s="2"/>
      <c r="H25" s="2"/>
      <c r="I25" s="2"/>
      <c r="J25" s="3"/>
    </row>
    <row r="26" ht="22" customHeight="1" spans="1:10">
      <c r="A26" s="4" t="s">
        <v>312</v>
      </c>
      <c r="B26" s="4" t="s">
        <v>324</v>
      </c>
      <c r="C26" s="4" t="s">
        <v>325</v>
      </c>
      <c r="D26" s="4" t="s">
        <v>326</v>
      </c>
    </row>
    <row r="27" ht="22" customHeight="1" spans="1:10">
      <c r="A27" s="18" t="s">
        <v>313</v>
      </c>
      <c r="B27" s="5" t="str">
        <f>"装备高级材料 x"&amp;$B$21&amp;" + 金币 "&amp;TEXT($B$15*$C$21,"#,##0")</f>
        <v>装备高级材料 x1 + 金币 20,000</v>
      </c>
      <c r="C27" s="5" t="str">
        <f>"装备高级材料 x"&amp;$B$22&amp;" + 金币 "&amp;TEXT($B$15*$C$22,"#,##0")</f>
        <v>装备高级材料 x2 + 金币 40,000</v>
      </c>
      <c r="D27" s="5" t="str">
        <f>"装备高级材料 x"&amp;$B$23&amp;" + 金币 "&amp;TEXT($B$15*$C$23,"#,##0")</f>
        <v>装备高级材料 x4 + 金币 80,000</v>
      </c>
    </row>
    <row r="28" ht="22" customHeight="1" spans="1:10">
      <c r="A28" s="18" t="s">
        <v>314</v>
      </c>
      <c r="B28" s="5" t="str">
        <f>"装备高级材料 x"&amp;$B$21&amp;" + 金币 "&amp;TEXT($B$16*$C$21,"#,##0")</f>
        <v>装备高级材料 x1 + 金币 40,000</v>
      </c>
      <c r="C28" s="5" t="str">
        <f>"装备高级材料 x"&amp;$B$22&amp;" + 金币 "&amp;TEXT($B$16*$C$22,"#,##0")</f>
        <v>装备高级材料 x2 + 金币 80,000</v>
      </c>
      <c r="D28" s="5" t="str">
        <f>"装备高级材料 x"&amp;$B$23&amp;" + 金币 "&amp;TEXT($B$16*$C$23,"#,##0")</f>
        <v>装备高级材料 x4 + 金币 160,000</v>
      </c>
    </row>
    <row r="29" ht="22" customHeight="1" spans="1:10">
      <c r="A29" s="18" t="s">
        <v>315</v>
      </c>
      <c r="B29" s="5" t="str">
        <f>"装备高级材料 x"&amp;$B$21&amp;" + 金币 "&amp;TEXT($B$17*$C$21,"#,##0")</f>
        <v>装备高级材料 x1 + 金币 70,000</v>
      </c>
      <c r="C29" s="5" t="str">
        <f>"装备高级材料 x"&amp;$B$22&amp;" + 金币 "&amp;TEXT($B$17*$C$22,"#,##0")</f>
        <v>装备高级材料 x2 + 金币 140,000</v>
      </c>
      <c r="D29" s="5" t="str">
        <f>"装备高级材料 x"&amp;$B$23&amp;" + 金币 "&amp;TEXT($B$17*$C$23,"#,##0")</f>
        <v>装备高级材料 x4 + 金币 280,000</v>
      </c>
    </row>
  </sheetData>
  <mergeCells count="4">
    <mergeCell ref="A1:J1"/>
    <mergeCell ref="A13:J13"/>
    <mergeCell ref="A19:J19"/>
    <mergeCell ref="A25:J25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showGridLines="0" tabSelected="1" workbookViewId="0">
      <pane ySplit="2" topLeftCell="A3" activePane="bottomLeft" state="frozen"/>
      <selection/>
      <selection pane="bottomLeft" activeCell="C32" sqref="C32"/>
    </sheetView>
  </sheetViews>
  <sheetFormatPr defaultColWidth="9" defaultRowHeight="13.5" outlineLevelCol="6"/>
  <cols>
    <col min="1" max="1" width="14" customWidth="1"/>
    <col min="2" max="2" width="20" customWidth="1"/>
    <col min="3" max="3" width="18" customWidth="1"/>
    <col min="4" max="4" width="20" customWidth="1"/>
    <col min="5" max="7" width="18" customWidth="1"/>
    <col min="8" max="10" width="13" customWidth="1"/>
  </cols>
  <sheetData>
    <row r="1" ht="22" customHeight="1" spans="1:7">
      <c r="A1" s="19" t="s">
        <v>327</v>
      </c>
      <c r="B1" s="19"/>
      <c r="C1" s="19"/>
      <c r="D1" s="19"/>
      <c r="E1" s="19"/>
      <c r="F1" s="19"/>
      <c r="G1" s="19"/>
    </row>
    <row r="2" ht="22" customHeight="1" spans="1:7">
      <c r="A2" s="9"/>
      <c r="B2" s="9"/>
      <c r="C2" s="9"/>
      <c r="D2" s="9"/>
      <c r="E2" s="9"/>
      <c r="F2" s="9"/>
      <c r="G2" s="9"/>
    </row>
    <row r="3" ht="22" customHeight="1" spans="1:7">
      <c r="A3" s="20" t="s">
        <v>1</v>
      </c>
      <c r="B3" s="20" t="s">
        <v>74</v>
      </c>
      <c r="C3" s="20"/>
      <c r="D3" s="20"/>
      <c r="E3" s="20"/>
      <c r="F3" s="20"/>
      <c r="G3" s="20"/>
    </row>
    <row r="4" ht="22" customHeight="1" spans="1:7">
      <c r="A4" s="9" t="s">
        <v>328</v>
      </c>
      <c r="B4" s="9" t="s">
        <v>329</v>
      </c>
      <c r="C4" s="9"/>
      <c r="D4" s="9"/>
      <c r="E4" s="9"/>
      <c r="F4" s="9"/>
      <c r="G4" s="9"/>
    </row>
    <row r="5" ht="33" customHeight="1" spans="1:7">
      <c r="A5" s="9" t="s">
        <v>330</v>
      </c>
      <c r="B5" s="9" t="s">
        <v>331</v>
      </c>
      <c r="C5" s="9"/>
      <c r="D5" s="9"/>
      <c r="E5" s="9"/>
      <c r="F5" s="9"/>
      <c r="G5" s="9"/>
    </row>
    <row r="6" ht="22" customHeight="1" spans="1:7">
      <c r="A6" s="9" t="s">
        <v>332</v>
      </c>
      <c r="B6" s="9" t="s">
        <v>333</v>
      </c>
      <c r="C6" s="9"/>
      <c r="D6" s="9"/>
      <c r="E6" s="9"/>
      <c r="F6" s="9"/>
      <c r="G6" s="9"/>
    </row>
    <row r="7" ht="22" customHeight="1" spans="1:7">
      <c r="A7" s="9" t="s">
        <v>334</v>
      </c>
      <c r="B7" s="9" t="s">
        <v>335</v>
      </c>
      <c r="C7" s="9"/>
      <c r="D7" s="9"/>
      <c r="E7" s="9"/>
      <c r="F7" s="9"/>
      <c r="G7" s="9"/>
    </row>
    <row r="8" ht="22" customHeight="1" spans="1:7">
      <c r="A8" s="9" t="s">
        <v>251</v>
      </c>
      <c r="B8" s="9" t="s">
        <v>252</v>
      </c>
      <c r="C8" s="9"/>
      <c r="D8" s="9"/>
      <c r="E8" s="9"/>
      <c r="F8" s="9"/>
      <c r="G8" s="9"/>
    </row>
    <row r="9" ht="33" customHeight="1" spans="1:7">
      <c r="A9" s="9" t="s">
        <v>336</v>
      </c>
      <c r="B9" s="9" t="s">
        <v>337</v>
      </c>
      <c r="C9" s="9"/>
      <c r="D9" s="9"/>
      <c r="E9" s="9"/>
      <c r="F9" s="9"/>
      <c r="G9" s="9"/>
    </row>
    <row r="10" ht="22" customHeight="1" spans="1:7">
      <c r="A10" s="9" t="s">
        <v>338</v>
      </c>
      <c r="B10" s="9" t="s">
        <v>339</v>
      </c>
      <c r="C10" s="9"/>
      <c r="D10" s="9"/>
      <c r="E10" s="9"/>
      <c r="F10" s="9"/>
      <c r="G10" s="9"/>
    </row>
    <row r="11" ht="22" customHeight="1" spans="1:7">
      <c r="A11" s="9" t="s">
        <v>254</v>
      </c>
      <c r="B11" s="9" t="s">
        <v>340</v>
      </c>
      <c r="C11" s="9"/>
      <c r="D11" s="9"/>
      <c r="E11" s="9"/>
      <c r="F11" s="9"/>
      <c r="G11" s="9"/>
    </row>
    <row r="12" ht="22" customHeight="1" spans="1:7">
      <c r="A12" s="9"/>
      <c r="B12" s="9"/>
      <c r="C12" s="9"/>
      <c r="D12" s="9"/>
      <c r="E12" s="9"/>
      <c r="F12" s="9"/>
      <c r="G12" s="9"/>
    </row>
    <row r="13" ht="22" customHeight="1" spans="1:7">
      <c r="A13" s="20" t="s">
        <v>86</v>
      </c>
      <c r="B13" s="20" t="s">
        <v>87</v>
      </c>
      <c r="C13" s="20" t="s">
        <v>88</v>
      </c>
      <c r="D13" s="20" t="s">
        <v>89</v>
      </c>
      <c r="E13" s="20" t="s">
        <v>90</v>
      </c>
      <c r="F13" s="20"/>
      <c r="G13" s="20"/>
    </row>
    <row r="14" ht="22" customHeight="1" spans="1:7">
      <c r="A14" s="9">
        <v>0.1</v>
      </c>
      <c r="B14" s="9">
        <v>0.15</v>
      </c>
      <c r="C14" s="9">
        <v>0.5</v>
      </c>
      <c r="D14" s="9">
        <v>0.2</v>
      </c>
      <c r="E14" s="9">
        <v>0.05</v>
      </c>
      <c r="F14" s="9"/>
      <c r="G14" s="9"/>
    </row>
    <row r="15" ht="22" customHeight="1" spans="1:7">
      <c r="A15" s="9"/>
      <c r="B15" s="9"/>
      <c r="C15" s="9"/>
      <c r="D15" s="9"/>
      <c r="E15" s="9"/>
      <c r="F15" s="9"/>
      <c r="G15" s="9"/>
    </row>
    <row r="16" ht="22" customHeight="1" spans="1:7">
      <c r="A16" s="21" t="s">
        <v>341</v>
      </c>
      <c r="B16" s="21"/>
      <c r="C16" s="21"/>
      <c r="D16" s="21"/>
      <c r="E16" s="21"/>
      <c r="F16" s="21"/>
      <c r="G16" s="21"/>
    </row>
    <row r="17" ht="22" customHeight="1" spans="1:7">
      <c r="A17" s="20" t="s">
        <v>342</v>
      </c>
      <c r="B17" s="20" t="s">
        <v>343</v>
      </c>
      <c r="C17" s="20" t="s">
        <v>338</v>
      </c>
      <c r="D17" s="20"/>
      <c r="E17" s="20"/>
      <c r="F17" s="20"/>
      <c r="G17" s="20"/>
    </row>
    <row r="18" ht="22" customHeight="1" spans="1:7">
      <c r="A18" s="9">
        <v>1</v>
      </c>
      <c r="B18" s="9" t="s">
        <v>262</v>
      </c>
      <c r="C18" s="9">
        <v>500</v>
      </c>
      <c r="D18" s="9"/>
      <c r="E18" s="9"/>
      <c r="F18" s="9"/>
      <c r="G18" s="9"/>
    </row>
    <row r="19" ht="22" customHeight="1" spans="1:7">
      <c r="A19" s="9">
        <v>2</v>
      </c>
      <c r="B19" s="9" t="s">
        <v>263</v>
      </c>
      <c r="C19" s="9">
        <v>1200</v>
      </c>
      <c r="D19" s="9"/>
      <c r="E19" s="9"/>
      <c r="F19" s="9"/>
      <c r="G19" s="9"/>
    </row>
    <row r="20" ht="22" customHeight="1" spans="1:7">
      <c r="A20" s="9">
        <v>3</v>
      </c>
      <c r="B20" s="9" t="s">
        <v>265</v>
      </c>
      <c r="C20" s="9">
        <v>2800</v>
      </c>
      <c r="D20" s="9"/>
      <c r="E20" s="9"/>
      <c r="F20" s="9"/>
      <c r="G20" s="9"/>
    </row>
    <row r="21" ht="22" customHeight="1" spans="1:7">
      <c r="A21" s="9">
        <v>4</v>
      </c>
      <c r="B21" s="9" t="s">
        <v>266</v>
      </c>
      <c r="C21" s="9">
        <v>6200</v>
      </c>
      <c r="D21" s="9"/>
      <c r="E21" s="9"/>
      <c r="F21" s="9"/>
      <c r="G21" s="9"/>
    </row>
    <row r="22" ht="22" customHeight="1" spans="1:7">
      <c r="A22" s="9">
        <v>5</v>
      </c>
      <c r="B22" s="9" t="s">
        <v>267</v>
      </c>
      <c r="C22" s="9">
        <v>9000</v>
      </c>
      <c r="D22" s="9"/>
      <c r="E22" s="9"/>
      <c r="F22" s="9"/>
      <c r="G22" s="9"/>
    </row>
    <row r="23" ht="22" customHeight="1" spans="1:7">
      <c r="A23" s="9">
        <v>6</v>
      </c>
      <c r="B23" s="9" t="s">
        <v>269</v>
      </c>
      <c r="C23" s="9">
        <v>13000</v>
      </c>
      <c r="D23" s="9"/>
      <c r="E23" s="9"/>
      <c r="F23" s="9"/>
      <c r="G23" s="9"/>
    </row>
    <row r="24" ht="22" customHeight="1" spans="1:7">
      <c r="A24" s="9">
        <v>7</v>
      </c>
      <c r="B24" s="9" t="s">
        <v>270</v>
      </c>
      <c r="C24" s="9">
        <v>18000</v>
      </c>
      <c r="D24" s="9"/>
      <c r="E24" s="9"/>
      <c r="F24" s="9"/>
      <c r="G24" s="9"/>
    </row>
    <row r="25" ht="22" customHeight="1" spans="1:7">
      <c r="A25" s="9">
        <v>8</v>
      </c>
      <c r="B25" s="9" t="s">
        <v>271</v>
      </c>
      <c r="C25" s="9">
        <v>24000</v>
      </c>
      <c r="D25" s="9"/>
      <c r="E25" s="9"/>
      <c r="F25" s="9"/>
      <c r="G25" s="9"/>
    </row>
    <row r="26" ht="22" customHeight="1" spans="1:7">
      <c r="A26" s="9"/>
      <c r="B26" s="9"/>
      <c r="C26" s="9"/>
      <c r="D26" s="9"/>
      <c r="E26" s="9"/>
      <c r="F26" s="9"/>
      <c r="G26" s="9"/>
    </row>
    <row r="27" ht="22" customHeight="1" spans="1:7">
      <c r="A27" s="21" t="s">
        <v>344</v>
      </c>
      <c r="B27" s="21"/>
      <c r="C27" s="21"/>
      <c r="D27" s="21"/>
      <c r="E27" s="21"/>
      <c r="F27" s="21"/>
      <c r="G27" s="21"/>
    </row>
    <row r="28" ht="22" customHeight="1" spans="1:7">
      <c r="A28" s="20" t="s">
        <v>342</v>
      </c>
      <c r="B28" s="20" t="s">
        <v>258</v>
      </c>
      <c r="C28" s="20" t="s">
        <v>343</v>
      </c>
      <c r="D28" s="20" t="s">
        <v>345</v>
      </c>
      <c r="E28" s="20" t="s">
        <v>346</v>
      </c>
      <c r="F28" s="20" t="s">
        <v>347</v>
      </c>
      <c r="G28" s="20" t="s">
        <v>348</v>
      </c>
    </row>
    <row r="29" ht="22" customHeight="1" spans="1:7">
      <c r="A29" s="9">
        <v>1</v>
      </c>
      <c r="B29" s="9">
        <v>10</v>
      </c>
      <c r="C29" s="9" t="s">
        <v>262</v>
      </c>
      <c r="D29" s="9" t="s">
        <v>349</v>
      </c>
      <c r="E29" s="9" t="s">
        <v>350</v>
      </c>
      <c r="F29" s="9" t="s">
        <v>351</v>
      </c>
      <c r="G29" s="9">
        <v>1</v>
      </c>
    </row>
    <row r="30" ht="22" customHeight="1" spans="1:7">
      <c r="A30" s="9">
        <v>2</v>
      </c>
      <c r="B30" s="9">
        <v>20</v>
      </c>
      <c r="C30" s="9" t="s">
        <v>263</v>
      </c>
      <c r="D30" s="9" t="s">
        <v>352</v>
      </c>
      <c r="E30" s="9" t="s">
        <v>353</v>
      </c>
      <c r="F30" s="9" t="s">
        <v>354</v>
      </c>
      <c r="G30" s="9">
        <v>1</v>
      </c>
    </row>
    <row r="31" ht="22" customHeight="1" spans="1:7">
      <c r="A31" s="9">
        <v>3</v>
      </c>
      <c r="B31" s="9">
        <v>30</v>
      </c>
      <c r="C31" s="9" t="s">
        <v>265</v>
      </c>
      <c r="D31" s="9" t="s">
        <v>355</v>
      </c>
      <c r="E31" s="9" t="s">
        <v>356</v>
      </c>
      <c r="F31" s="9" t="s">
        <v>357</v>
      </c>
      <c r="G31" s="9">
        <v>1</v>
      </c>
    </row>
    <row r="32" ht="22" customHeight="1" spans="1:7">
      <c r="A32" s="9">
        <v>4</v>
      </c>
      <c r="B32" s="9">
        <v>40</v>
      </c>
      <c r="C32" s="9" t="s">
        <v>266</v>
      </c>
      <c r="D32" s="9" t="s">
        <v>358</v>
      </c>
      <c r="E32" s="9" t="s">
        <v>359</v>
      </c>
      <c r="F32" s="9" t="s">
        <v>360</v>
      </c>
      <c r="G32" s="9">
        <v>1</v>
      </c>
    </row>
    <row r="33" ht="22" customHeight="1" spans="1:7">
      <c r="A33" s="9">
        <v>5</v>
      </c>
      <c r="B33" s="9">
        <v>45</v>
      </c>
      <c r="C33" s="9" t="s">
        <v>267</v>
      </c>
      <c r="D33" s="9" t="s">
        <v>361</v>
      </c>
      <c r="E33" s="9" t="s">
        <v>362</v>
      </c>
      <c r="F33" s="9" t="s">
        <v>363</v>
      </c>
      <c r="G33" s="9">
        <v>1</v>
      </c>
    </row>
    <row r="34" ht="22" customHeight="1" spans="1:7">
      <c r="A34" s="9">
        <v>6</v>
      </c>
      <c r="B34" s="9">
        <v>50</v>
      </c>
      <c r="C34" s="9" t="s">
        <v>269</v>
      </c>
      <c r="D34" s="9" t="s">
        <v>364</v>
      </c>
      <c r="E34" s="9" t="s">
        <v>365</v>
      </c>
      <c r="F34" s="9" t="s">
        <v>366</v>
      </c>
      <c r="G34" s="9">
        <v>1</v>
      </c>
    </row>
    <row r="35" ht="22" customHeight="1" spans="1:7">
      <c r="A35" s="9">
        <v>7</v>
      </c>
      <c r="B35" s="9">
        <v>55</v>
      </c>
      <c r="C35" s="9" t="s">
        <v>270</v>
      </c>
      <c r="D35" s="9" t="s">
        <v>367</v>
      </c>
      <c r="E35" s="9" t="s">
        <v>368</v>
      </c>
      <c r="F35" s="9" t="s">
        <v>369</v>
      </c>
      <c r="G35" s="9">
        <v>1</v>
      </c>
    </row>
    <row r="36" ht="22" customHeight="1" spans="1:7">
      <c r="A36" s="9">
        <v>8</v>
      </c>
      <c r="B36" s="9">
        <v>60</v>
      </c>
      <c r="C36" s="9" t="s">
        <v>271</v>
      </c>
      <c r="D36" s="9" t="s">
        <v>370</v>
      </c>
      <c r="E36" s="9" t="s">
        <v>371</v>
      </c>
      <c r="F36" s="9" t="s">
        <v>372</v>
      </c>
      <c r="G36" s="9">
        <v>1</v>
      </c>
    </row>
    <row r="37" ht="22" customHeight="1" spans="1:7">
      <c r="A37" s="9"/>
      <c r="B37" s="9"/>
      <c r="C37" s="9"/>
      <c r="D37" s="9"/>
      <c r="E37" s="9"/>
      <c r="F37" s="9"/>
      <c r="G37" s="9"/>
    </row>
    <row r="38" ht="22" customHeight="1" spans="1:7">
      <c r="A38" s="21" t="s">
        <v>373</v>
      </c>
      <c r="B38" s="21"/>
      <c r="C38" s="21"/>
      <c r="D38" s="21"/>
      <c r="E38" s="21"/>
      <c r="F38" s="21"/>
      <c r="G38" s="21"/>
    </row>
    <row r="39" ht="22" customHeight="1" spans="1:7">
      <c r="A39" s="20" t="s">
        <v>374</v>
      </c>
      <c r="B39" s="20" t="s">
        <v>375</v>
      </c>
      <c r="C39" s="20" t="s">
        <v>376</v>
      </c>
      <c r="D39" s="20"/>
      <c r="E39" s="20"/>
      <c r="F39" s="20"/>
      <c r="G39" s="20"/>
    </row>
    <row r="40" ht="22" customHeight="1" spans="1:7">
      <c r="A40" s="9" t="s">
        <v>377</v>
      </c>
      <c r="B40" s="9">
        <v>0.2</v>
      </c>
      <c r="C40" s="9">
        <v>1</v>
      </c>
      <c r="D40" s="9"/>
      <c r="E40" s="9"/>
      <c r="F40" s="9"/>
      <c r="G40" s="9"/>
    </row>
    <row r="41" ht="22" customHeight="1" spans="1:7">
      <c r="A41" s="9"/>
      <c r="B41" s="9"/>
      <c r="C41" s="9"/>
      <c r="D41" s="9"/>
      <c r="E41" s="9"/>
      <c r="F41" s="9"/>
      <c r="G41" s="9"/>
    </row>
    <row r="42" ht="22" customHeight="1" spans="1:7">
      <c r="A42" s="9" t="s">
        <v>374</v>
      </c>
      <c r="B42" s="9" t="s">
        <v>378</v>
      </c>
      <c r="C42" s="9"/>
      <c r="D42" s="9"/>
      <c r="E42" s="9"/>
      <c r="F42" s="9"/>
      <c r="G42" s="9"/>
    </row>
    <row r="43" ht="22" customHeight="1" spans="1:7">
      <c r="A43" s="21" t="s">
        <v>379</v>
      </c>
      <c r="B43" s="21" t="s">
        <v>380</v>
      </c>
      <c r="C43" s="21"/>
      <c r="D43" s="21"/>
      <c r="E43" s="21"/>
      <c r="F43" s="21"/>
      <c r="G43" s="21"/>
    </row>
    <row r="44" ht="33" customHeight="1" spans="1:7">
      <c r="A44" s="20" t="s">
        <v>381</v>
      </c>
      <c r="B44" s="20" t="s">
        <v>382</v>
      </c>
      <c r="C44" s="20"/>
      <c r="D44" s="20"/>
      <c r="E44" s="20"/>
      <c r="F44" s="20"/>
      <c r="G44" s="20"/>
    </row>
    <row r="45" ht="33" customHeight="1" spans="1:7">
      <c r="A45" s="9" t="s">
        <v>383</v>
      </c>
      <c r="B45" s="9" t="s">
        <v>384</v>
      </c>
      <c r="C45" s="9"/>
      <c r="D45" s="9"/>
      <c r="E45" s="9"/>
      <c r="F45" s="9"/>
      <c r="G45" s="9"/>
    </row>
    <row r="46" ht="33" customHeight="1" spans="1:7">
      <c r="A46" s="9" t="s">
        <v>385</v>
      </c>
      <c r="B46" s="9" t="s">
        <v>386</v>
      </c>
      <c r="C46" s="9"/>
      <c r="D46" s="9"/>
      <c r="E46" s="9"/>
      <c r="F46" s="9"/>
      <c r="G46" s="9"/>
    </row>
    <row r="47" ht="33" customHeight="1" spans="1:7">
      <c r="A47" s="9" t="s">
        <v>387</v>
      </c>
      <c r="B47" s="9" t="s">
        <v>388</v>
      </c>
      <c r="C47" s="9"/>
      <c r="D47" s="9"/>
      <c r="E47" s="9"/>
      <c r="F47" s="9"/>
      <c r="G47" s="9"/>
    </row>
    <row r="48" ht="33" customHeight="1" spans="1:7">
      <c r="A48" s="9" t="s">
        <v>389</v>
      </c>
      <c r="B48" s="9" t="s">
        <v>390</v>
      </c>
      <c r="C48" s="9"/>
      <c r="D48" s="9"/>
      <c r="E48" s="9"/>
      <c r="F48" s="9"/>
      <c r="G48" s="9"/>
    </row>
    <row r="49" ht="33" customHeight="1" spans="1:7">
      <c r="A49" s="20" t="s">
        <v>391</v>
      </c>
      <c r="B49" s="20" t="s">
        <v>392</v>
      </c>
      <c r="C49" s="20"/>
      <c r="D49" s="20"/>
      <c r="E49" s="20"/>
      <c r="F49" s="20"/>
      <c r="G49" s="20"/>
    </row>
    <row r="50" ht="49.5" customHeight="1" spans="1:7">
      <c r="A50" s="9" t="s">
        <v>393</v>
      </c>
      <c r="B50" s="9" t="s">
        <v>394</v>
      </c>
      <c r="C50" s="9"/>
      <c r="D50" s="9"/>
      <c r="E50" s="9"/>
      <c r="F50" s="9"/>
      <c r="G50" s="9"/>
    </row>
    <row r="51" ht="49.5" customHeight="1" spans="1:7">
      <c r="A51" s="9"/>
      <c r="B51" s="9"/>
      <c r="C51" s="9"/>
      <c r="D51" s="9"/>
      <c r="E51" s="9"/>
      <c r="F51" s="9"/>
      <c r="G51" s="9"/>
    </row>
    <row r="52" ht="33" customHeight="1" spans="1:7">
      <c r="A52" s="9" t="s">
        <v>395</v>
      </c>
      <c r="B52" s="9" t="s">
        <v>396</v>
      </c>
      <c r="C52" s="9" t="s">
        <v>397</v>
      </c>
      <c r="D52" s="9"/>
      <c r="E52" s="9"/>
      <c r="F52" s="9"/>
      <c r="G52" s="9"/>
    </row>
    <row r="53" ht="22" customHeight="1" spans="1:7">
      <c r="A53" s="22" t="s">
        <v>398</v>
      </c>
      <c r="B53" s="22">
        <v>0.2</v>
      </c>
      <c r="C53" s="22" t="s">
        <v>101</v>
      </c>
      <c r="D53" s="22"/>
      <c r="E53" s="22"/>
      <c r="F53" s="22"/>
      <c r="G53" s="22"/>
    </row>
    <row r="54" ht="22" customHeight="1" spans="1:7">
      <c r="A54" s="9" t="s">
        <v>399</v>
      </c>
      <c r="B54" s="9">
        <v>0.55</v>
      </c>
      <c r="C54" s="9" t="s">
        <v>400</v>
      </c>
      <c r="D54" s="9"/>
      <c r="E54" s="9"/>
      <c r="F54" s="9"/>
      <c r="G54" s="9"/>
    </row>
    <row r="55" ht="22" customHeight="1" spans="1:7">
      <c r="A55" s="9" t="s">
        <v>401</v>
      </c>
      <c r="B55" s="9">
        <v>0.25</v>
      </c>
      <c r="C55" s="9" t="s">
        <v>402</v>
      </c>
      <c r="D55" s="9"/>
      <c r="E55" s="9"/>
      <c r="F55" s="9"/>
      <c r="G55" s="9"/>
    </row>
    <row r="56" ht="22" customHeight="1" spans="1:7">
      <c r="A56" s="9"/>
      <c r="B56" s="9"/>
      <c r="C56" s="9"/>
      <c r="D56" s="9"/>
      <c r="E56" s="9"/>
      <c r="F56" s="9"/>
      <c r="G56" s="9"/>
    </row>
    <row r="57" ht="22" customHeight="1" spans="1:7">
      <c r="A57" s="9" t="s">
        <v>277</v>
      </c>
      <c r="B57" s="9" t="s">
        <v>403</v>
      </c>
      <c r="C57" s="9"/>
      <c r="D57" s="9"/>
      <c r="E57" s="9"/>
      <c r="F57" s="9"/>
      <c r="G57" s="9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showGridLines="0" workbookViewId="0">
      <pane ySplit="1" topLeftCell="A16" activePane="bottomLeft" state="frozen"/>
      <selection/>
      <selection pane="bottomLeft" activeCell="E44" sqref="E44"/>
    </sheetView>
  </sheetViews>
  <sheetFormatPr defaultColWidth="9" defaultRowHeight="13.5"/>
  <cols>
    <col min="1" max="1" width="18" customWidth="1"/>
    <col min="2" max="2" width="86" customWidth="1"/>
    <col min="3" max="4" width="18" customWidth="1"/>
    <col min="5" max="8" width="10" customWidth="1"/>
    <col min="9" max="14" width="12" customWidth="1"/>
    <col min="15" max="15" width="16" customWidth="1"/>
    <col min="16" max="16" width="14" customWidth="1"/>
    <col min="17" max="17" width="18" customWidth="1"/>
  </cols>
  <sheetData>
    <row r="1" ht="22" customHeight="1" spans="1:17">
      <c r="A1" s="1" t="s">
        <v>404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2" customHeight="1"/>
    <row r="3" ht="22" customHeight="1" spans="1:17">
      <c r="A3" s="4" t="s">
        <v>405</v>
      </c>
      <c r="B3" s="4" t="s">
        <v>406</v>
      </c>
    </row>
    <row r="4" ht="22" customHeight="1" spans="1:17">
      <c r="A4" s="5" t="s">
        <v>407</v>
      </c>
      <c r="B4" s="10">
        <v>5</v>
      </c>
    </row>
    <row r="5" ht="22" customHeight="1" spans="1:17">
      <c r="A5" s="5" t="s">
        <v>408</v>
      </c>
      <c r="B5" s="10">
        <v>20</v>
      </c>
    </row>
    <row r="6" ht="22" customHeight="1" spans="1:17">
      <c r="A6" s="5" t="s">
        <v>409</v>
      </c>
      <c r="B6" s="5">
        <f>B4+B5/7</f>
        <v>7.85714285714286</v>
      </c>
    </row>
    <row r="7" ht="22" customHeight="1" spans="1:17">
      <c r="A7" s="5" t="s">
        <v>410</v>
      </c>
      <c r="B7" s="11">
        <v>0.2</v>
      </c>
    </row>
    <row r="8" ht="22" customHeight="1"/>
    <row r="9" ht="22" customHeight="1" spans="1:17">
      <c r="A9" s="6" t="s">
        <v>411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0" ht="22" customHeight="1" spans="1:17">
      <c r="A10" s="4" t="s">
        <v>412</v>
      </c>
      <c r="B10" s="4" t="s">
        <v>413</v>
      </c>
      <c r="C10" s="4" t="s">
        <v>414</v>
      </c>
      <c r="D10" s="4" t="s">
        <v>415</v>
      </c>
      <c r="E10" s="4" t="s">
        <v>416</v>
      </c>
      <c r="F10" s="4" t="s">
        <v>417</v>
      </c>
      <c r="G10" s="4" t="s">
        <v>418</v>
      </c>
      <c r="H10" s="4" t="s">
        <v>419</v>
      </c>
      <c r="I10" s="4" t="s">
        <v>420</v>
      </c>
      <c r="J10" s="4" t="s">
        <v>421</v>
      </c>
      <c r="K10" s="4" t="s">
        <v>422</v>
      </c>
      <c r="L10" s="4" t="s">
        <v>423</v>
      </c>
      <c r="M10" s="4" t="s">
        <v>424</v>
      </c>
      <c r="N10" s="4" t="s">
        <v>425</v>
      </c>
      <c r="O10" s="4" t="s">
        <v>426</v>
      </c>
      <c r="P10" s="4" t="s">
        <v>427</v>
      </c>
      <c r="Q10" s="4" t="s">
        <v>428</v>
      </c>
    </row>
    <row r="11" ht="22" customHeight="1" spans="1:17">
      <c r="A11" s="12">
        <v>1</v>
      </c>
      <c r="B11" s="12">
        <v>3</v>
      </c>
      <c r="C11" s="13">
        <f t="shared" ref="C11:C17" si="0">B11*$B$6</f>
        <v>23.5714285714286</v>
      </c>
      <c r="D11" s="14">
        <v>0.56</v>
      </c>
      <c r="E11" s="14">
        <v>0.374</v>
      </c>
      <c r="F11" s="14">
        <v>0.066</v>
      </c>
      <c r="G11" s="14">
        <v>0</v>
      </c>
      <c r="H11" s="14">
        <v>0</v>
      </c>
      <c r="I11" s="13">
        <f t="shared" ref="I11:I17" si="1">$C11*D11</f>
        <v>13.2</v>
      </c>
      <c r="J11" s="13">
        <f t="shared" ref="J11:J17" si="2">$C11*E11</f>
        <v>8.81571428571429</v>
      </c>
      <c r="K11" s="13">
        <f t="shared" ref="K11:K17" si="3">$C11*F11</f>
        <v>1.55571428571429</v>
      </c>
      <c r="L11" s="13">
        <f t="shared" ref="L11:L17" si="4">$C11*G11</f>
        <v>0</v>
      </c>
      <c r="M11" s="13">
        <f t="shared" ref="M11:M17" si="5">$C11*H11</f>
        <v>0</v>
      </c>
      <c r="N11" s="13">
        <f t="shared" ref="N11:N17" si="6">$B$6*$B$7</f>
        <v>1.57142857142857</v>
      </c>
      <c r="O11" s="15">
        <v>1325</v>
      </c>
      <c r="P11" s="16">
        <v>0.314</v>
      </c>
      <c r="Q11" s="17">
        <f t="shared" ref="Q11:Q17" si="7">$C11*$O11*$P11</f>
        <v>9806.89285714286</v>
      </c>
    </row>
    <row r="12" ht="22" customHeight="1" spans="1:17">
      <c r="A12" s="12">
        <v>5</v>
      </c>
      <c r="B12" s="12">
        <v>3.2</v>
      </c>
      <c r="C12" s="13">
        <f t="shared" si="0"/>
        <v>25.1428571428571</v>
      </c>
      <c r="D12" s="14">
        <v>0.496</v>
      </c>
      <c r="E12" s="14">
        <v>0.389</v>
      </c>
      <c r="F12" s="14">
        <v>0.1055</v>
      </c>
      <c r="G12" s="14">
        <v>0.0096</v>
      </c>
      <c r="H12" s="14">
        <v>0</v>
      </c>
      <c r="I12" s="13">
        <f t="shared" si="1"/>
        <v>12.4708571428571</v>
      </c>
      <c r="J12" s="13">
        <f t="shared" si="2"/>
        <v>9.78057142857143</v>
      </c>
      <c r="K12" s="13">
        <f t="shared" si="3"/>
        <v>2.65257142857143</v>
      </c>
      <c r="L12" s="13">
        <f t="shared" si="4"/>
        <v>0.241371428571429</v>
      </c>
      <c r="M12" s="13">
        <f t="shared" si="5"/>
        <v>0</v>
      </c>
      <c r="N12" s="13">
        <f t="shared" si="6"/>
        <v>1.57142857142857</v>
      </c>
      <c r="O12" s="15">
        <v>2050</v>
      </c>
      <c r="P12" s="16">
        <v>0.3</v>
      </c>
      <c r="Q12" s="17">
        <f t="shared" si="7"/>
        <v>15462.8571428571</v>
      </c>
    </row>
    <row r="13" ht="22" customHeight="1" spans="1:17">
      <c r="A13" s="12">
        <v>10</v>
      </c>
      <c r="B13" s="12">
        <v>3.45</v>
      </c>
      <c r="C13" s="13">
        <f t="shared" si="0"/>
        <v>27.1071428571429</v>
      </c>
      <c r="D13" s="14">
        <v>0.416</v>
      </c>
      <c r="E13" s="14">
        <v>0.4083</v>
      </c>
      <c r="F13" s="14">
        <v>0.1542</v>
      </c>
      <c r="G13" s="14">
        <v>0.0216</v>
      </c>
      <c r="H13" s="14">
        <v>0</v>
      </c>
      <c r="I13" s="13">
        <f t="shared" si="1"/>
        <v>11.2765714285714</v>
      </c>
      <c r="J13" s="13">
        <f t="shared" si="2"/>
        <v>11.0678464285714</v>
      </c>
      <c r="K13" s="13">
        <f t="shared" si="3"/>
        <v>4.17992142857143</v>
      </c>
      <c r="L13" s="13">
        <f t="shared" si="4"/>
        <v>0.585514285714286</v>
      </c>
      <c r="M13" s="13">
        <f t="shared" si="5"/>
        <v>0</v>
      </c>
      <c r="N13" s="13">
        <f t="shared" si="6"/>
        <v>1.57142857142857</v>
      </c>
      <c r="O13" s="15">
        <v>3075</v>
      </c>
      <c r="P13" s="16">
        <v>0.337</v>
      </c>
      <c r="Q13" s="17">
        <f t="shared" si="7"/>
        <v>28090.4544642857</v>
      </c>
    </row>
    <row r="14" ht="22" customHeight="1" spans="1:17">
      <c r="A14" s="12">
        <v>15</v>
      </c>
      <c r="B14" s="12">
        <v>3.9</v>
      </c>
      <c r="C14" s="13">
        <f t="shared" si="0"/>
        <v>30.6428571428571</v>
      </c>
      <c r="D14" s="14">
        <v>0.336</v>
      </c>
      <c r="E14" s="14">
        <v>0.4116</v>
      </c>
      <c r="F14" s="14">
        <v>0.1988</v>
      </c>
      <c r="G14" s="14">
        <v>0.0492</v>
      </c>
      <c r="H14" s="14">
        <v>0.0036</v>
      </c>
      <c r="I14" s="13">
        <f t="shared" si="1"/>
        <v>10.296</v>
      </c>
      <c r="J14" s="13">
        <f t="shared" si="2"/>
        <v>12.6126</v>
      </c>
      <c r="K14" s="13">
        <f t="shared" si="3"/>
        <v>6.0918</v>
      </c>
      <c r="L14" s="13">
        <f t="shared" si="4"/>
        <v>1.50762857142857</v>
      </c>
      <c r="M14" s="13">
        <f t="shared" si="5"/>
        <v>0.110314285714286</v>
      </c>
      <c r="N14" s="13">
        <f t="shared" si="6"/>
        <v>1.57142857142857</v>
      </c>
      <c r="O14" s="15">
        <v>4325</v>
      </c>
      <c r="P14" s="16">
        <v>0.439</v>
      </c>
      <c r="Q14" s="17">
        <f t="shared" si="7"/>
        <v>58180.8267857143</v>
      </c>
    </row>
    <row r="15" ht="22" customHeight="1" spans="1:17">
      <c r="A15" s="12">
        <v>20</v>
      </c>
      <c r="B15" s="12">
        <v>4.4</v>
      </c>
      <c r="C15" s="13">
        <f t="shared" si="0"/>
        <v>34.5714285714286</v>
      </c>
      <c r="D15" s="14">
        <v>0.256</v>
      </c>
      <c r="E15" s="14">
        <v>0.3686</v>
      </c>
      <c r="F15" s="14">
        <v>0.2606</v>
      </c>
      <c r="G15" s="14">
        <v>0.1044</v>
      </c>
      <c r="H15" s="14">
        <v>0.0108</v>
      </c>
      <c r="I15" s="13">
        <f t="shared" si="1"/>
        <v>8.85028571428572</v>
      </c>
      <c r="J15" s="13">
        <f t="shared" si="2"/>
        <v>12.7430285714286</v>
      </c>
      <c r="K15" s="13">
        <f t="shared" si="3"/>
        <v>9.00931428571429</v>
      </c>
      <c r="L15" s="13">
        <f t="shared" si="4"/>
        <v>3.60925714285714</v>
      </c>
      <c r="M15" s="13">
        <f t="shared" si="5"/>
        <v>0.373371428571429</v>
      </c>
      <c r="N15" s="13">
        <f t="shared" si="6"/>
        <v>1.57142857142857</v>
      </c>
      <c r="O15" s="15">
        <v>6150</v>
      </c>
      <c r="P15" s="16">
        <v>0.559</v>
      </c>
      <c r="Q15" s="17">
        <f t="shared" si="7"/>
        <v>118851.385714286</v>
      </c>
    </row>
    <row r="16" ht="22" customHeight="1" spans="1:17">
      <c r="A16" s="12">
        <v>25</v>
      </c>
      <c r="B16" s="12">
        <v>4.9</v>
      </c>
      <c r="C16" s="13">
        <f t="shared" si="0"/>
        <v>38.5</v>
      </c>
      <c r="D16" s="14">
        <v>0.176</v>
      </c>
      <c r="E16" s="14">
        <v>0.3096</v>
      </c>
      <c r="F16" s="14">
        <v>0.3184</v>
      </c>
      <c r="G16" s="14">
        <v>0.1752</v>
      </c>
      <c r="H16" s="14">
        <v>0.0216</v>
      </c>
      <c r="I16" s="13">
        <f t="shared" si="1"/>
        <v>6.776</v>
      </c>
      <c r="J16" s="13">
        <f t="shared" si="2"/>
        <v>11.9196</v>
      </c>
      <c r="K16" s="13">
        <f t="shared" si="3"/>
        <v>12.2584</v>
      </c>
      <c r="L16" s="13">
        <f t="shared" si="4"/>
        <v>6.7452</v>
      </c>
      <c r="M16" s="13">
        <f t="shared" si="5"/>
        <v>0.8316</v>
      </c>
      <c r="N16" s="13">
        <f t="shared" si="6"/>
        <v>1.57142857142857</v>
      </c>
      <c r="O16" s="15">
        <v>8750</v>
      </c>
      <c r="P16" s="16">
        <v>0.665</v>
      </c>
      <c r="Q16" s="17">
        <f t="shared" si="7"/>
        <v>224021.875</v>
      </c>
    </row>
    <row r="17" ht="22" customHeight="1" spans="1:17">
      <c r="A17" s="12">
        <v>30</v>
      </c>
      <c r="B17" s="12">
        <v>6</v>
      </c>
      <c r="C17" s="13">
        <f t="shared" si="0"/>
        <v>47.1428571428571</v>
      </c>
      <c r="D17" s="14">
        <v>0.096</v>
      </c>
      <c r="E17" s="14">
        <v>0.2424</v>
      </c>
      <c r="F17" s="14">
        <v>0.3424</v>
      </c>
      <c r="G17" s="14">
        <v>0.2772</v>
      </c>
      <c r="H17" s="14">
        <v>0.0414</v>
      </c>
      <c r="I17" s="13">
        <f t="shared" si="1"/>
        <v>4.52571428571429</v>
      </c>
      <c r="J17" s="13">
        <f t="shared" si="2"/>
        <v>11.4274285714286</v>
      </c>
      <c r="K17" s="13">
        <f t="shared" si="3"/>
        <v>16.1417142857143</v>
      </c>
      <c r="L17" s="13">
        <f t="shared" si="4"/>
        <v>13.068</v>
      </c>
      <c r="M17" s="13">
        <f t="shared" si="5"/>
        <v>1.95171428571429</v>
      </c>
      <c r="N17" s="13">
        <f t="shared" si="6"/>
        <v>1.57142857142857</v>
      </c>
      <c r="O17" s="15">
        <v>9625</v>
      </c>
      <c r="P17" s="16">
        <v>0.65</v>
      </c>
      <c r="Q17" s="17">
        <f t="shared" si="7"/>
        <v>294937.5</v>
      </c>
    </row>
    <row r="18" ht="22" customHeight="1"/>
    <row r="19" ht="22" customHeight="1"/>
    <row r="20" ht="22" customHeight="1" spans="1:17">
      <c r="A20" s="6" t="s">
        <v>429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1" ht="22" customHeight="1" spans="1:17">
      <c r="A21" s="4" t="s">
        <v>412</v>
      </c>
      <c r="B21" s="4" t="s">
        <v>430</v>
      </c>
      <c r="C21" s="4" t="s">
        <v>431</v>
      </c>
      <c r="D21" s="4" t="s">
        <v>432</v>
      </c>
    </row>
    <row r="22" ht="22" customHeight="1" spans="1:17">
      <c r="A22" s="18">
        <f t="shared" ref="A22:A28" si="8">A11</f>
        <v>1</v>
      </c>
      <c r="B22" s="17">
        <f t="shared" ref="B22:B28" si="9">C11*O11*(D11*0.2+E11*0.4)</f>
        <v>8170.32857142857</v>
      </c>
      <c r="C22" s="17">
        <f t="shared" ref="C22:C28" si="10">C11*O11*(D11*0.2+E11*0.4+F11*0.8)</f>
        <v>9819.38571428572</v>
      </c>
      <c r="D22" s="17">
        <f t="shared" ref="D22:D28" si="11">C11*O11*(G11*1.3+H11*2)</f>
        <v>0</v>
      </c>
    </row>
    <row r="23" ht="22" customHeight="1" spans="1:17">
      <c r="A23" s="18">
        <f t="shared" si="8"/>
        <v>5</v>
      </c>
      <c r="B23" s="17">
        <f t="shared" si="9"/>
        <v>13133.12</v>
      </c>
      <c r="C23" s="17">
        <f t="shared" si="10"/>
        <v>17483.3371428571</v>
      </c>
      <c r="D23" s="17">
        <f t="shared" si="11"/>
        <v>643.254857142857</v>
      </c>
    </row>
    <row r="24" ht="22" customHeight="1" spans="1:17">
      <c r="A24" s="18">
        <f t="shared" si="8"/>
        <v>10</v>
      </c>
      <c r="B24" s="17">
        <f t="shared" si="9"/>
        <v>20548.5425357143</v>
      </c>
      <c r="C24" s="17">
        <f t="shared" si="10"/>
        <v>30831.14925</v>
      </c>
      <c r="D24" s="17">
        <f t="shared" si="11"/>
        <v>2340.59335714286</v>
      </c>
    </row>
    <row r="25" ht="22" customHeight="1" spans="1:17">
      <c r="A25" s="18">
        <f t="shared" si="8"/>
        <v>15</v>
      </c>
      <c r="B25" s="17">
        <f t="shared" si="9"/>
        <v>30725.838</v>
      </c>
      <c r="C25" s="17">
        <f t="shared" si="10"/>
        <v>51803.466</v>
      </c>
      <c r="D25" s="17">
        <f t="shared" si="11"/>
        <v>9430.86021428572</v>
      </c>
    </row>
    <row r="26" ht="22" customHeight="1" spans="1:17">
      <c r="A26" s="18">
        <f t="shared" si="8"/>
        <v>20</v>
      </c>
      <c r="B26" s="17">
        <f t="shared" si="9"/>
        <v>42233.7017142857</v>
      </c>
      <c r="C26" s="17">
        <f t="shared" si="10"/>
        <v>86559.528</v>
      </c>
      <c r="D26" s="17">
        <f t="shared" si="11"/>
        <v>33448.4794285714</v>
      </c>
    </row>
    <row r="27" ht="22" customHeight="1" spans="1:17">
      <c r="A27" s="18">
        <f t="shared" si="8"/>
        <v>25</v>
      </c>
      <c r="B27" s="17">
        <f t="shared" si="9"/>
        <v>53576.6</v>
      </c>
      <c r="C27" s="17">
        <f t="shared" si="10"/>
        <v>139385.4</v>
      </c>
      <c r="D27" s="17">
        <f t="shared" si="11"/>
        <v>91279.65</v>
      </c>
    </row>
    <row r="28" ht="22" customHeight="1" spans="1:17">
      <c r="A28" s="18">
        <f t="shared" si="8"/>
        <v>30</v>
      </c>
      <c r="B28" s="17">
        <f t="shared" si="9"/>
        <v>52707.6</v>
      </c>
      <c r="C28" s="17">
        <f t="shared" si="10"/>
        <v>176998.8</v>
      </c>
      <c r="D28" s="17">
        <f t="shared" si="11"/>
        <v>201083.85</v>
      </c>
    </row>
    <row r="29" ht="22" customHeight="1"/>
    <row r="30" ht="22" customHeight="1"/>
    <row r="31" ht="22" customHeight="1" spans="1:17">
      <c r="A31" s="6" t="s">
        <v>433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</row>
    <row r="32" ht="22" customHeight="1" spans="1:17">
      <c r="A32" s="4" t="s">
        <v>434</v>
      </c>
      <c r="B32" s="4" t="s">
        <v>435</v>
      </c>
    </row>
    <row r="33" ht="22" customHeight="1" spans="1:2">
      <c r="A33" s="5" t="s">
        <v>436</v>
      </c>
      <c r="B33" s="5" t="s">
        <v>437</v>
      </c>
    </row>
    <row r="34" ht="22" customHeight="1" spans="1:2">
      <c r="A34" s="5" t="s">
        <v>438</v>
      </c>
      <c r="B34" s="5" t="s">
        <v>439</v>
      </c>
    </row>
    <row r="35" ht="22" customHeight="1" spans="1:2">
      <c r="A35" s="5" t="s">
        <v>440</v>
      </c>
      <c r="B35" s="5" t="s">
        <v>441</v>
      </c>
    </row>
    <row r="36" ht="22" customHeight="1" spans="1:2">
      <c r="A36" s="5" t="s">
        <v>442</v>
      </c>
      <c r="B36" s="5" t="s">
        <v>443</v>
      </c>
    </row>
    <row r="37" ht="22" customHeight="1" spans="1:2">
      <c r="A37" s="5" t="s">
        <v>444</v>
      </c>
      <c r="B37" s="5" t="s">
        <v>445</v>
      </c>
    </row>
  </sheetData>
  <mergeCells count="4">
    <mergeCell ref="A1:N1"/>
    <mergeCell ref="A9:N9"/>
    <mergeCell ref="A20:N20"/>
    <mergeCell ref="A31:N3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showGridLines="0" workbookViewId="0">
      <pane ySplit="1" topLeftCell="A2" activePane="bottomLeft" state="frozen"/>
      <selection/>
      <selection pane="bottomLeft" activeCell="A1" sqref="A1:J1"/>
    </sheetView>
  </sheetViews>
  <sheetFormatPr defaultColWidth="9" defaultRowHeight="13.5"/>
  <cols>
    <col min="1" max="1" width="26" customWidth="1"/>
    <col min="2" max="2" width="90" customWidth="1"/>
    <col min="3" max="10" width="13" customWidth="1"/>
  </cols>
  <sheetData>
    <row r="1" ht="22" customHeight="1" spans="1:10">
      <c r="A1" s="1" t="s">
        <v>446</v>
      </c>
      <c r="B1" s="2"/>
      <c r="C1" s="2"/>
      <c r="D1" s="2"/>
      <c r="E1" s="2"/>
      <c r="F1" s="2"/>
      <c r="G1" s="2"/>
      <c r="H1" s="2"/>
      <c r="I1" s="2"/>
      <c r="J1" s="3"/>
    </row>
    <row r="2" ht="22" customHeight="1"/>
    <row r="3" ht="22" customHeight="1" spans="1:10">
      <c r="A3" s="4" t="s">
        <v>447</v>
      </c>
      <c r="B3" s="4" t="s">
        <v>448</v>
      </c>
    </row>
    <row r="4" ht="22" customHeight="1" spans="1:10">
      <c r="A4" s="5" t="s">
        <v>449</v>
      </c>
      <c r="B4" s="5" t="s">
        <v>450</v>
      </c>
    </row>
    <row r="5" ht="22" customHeight="1" spans="1:10">
      <c r="A5" s="5" t="s">
        <v>451</v>
      </c>
      <c r="B5" s="5" t="s">
        <v>452</v>
      </c>
    </row>
    <row r="6" ht="22" customHeight="1" spans="1:10">
      <c r="A6" s="5" t="s">
        <v>453</v>
      </c>
      <c r="B6" s="5" t="s">
        <v>454</v>
      </c>
    </row>
    <row r="7" ht="22" customHeight="1" spans="1:10">
      <c r="A7" s="5" t="s">
        <v>455</v>
      </c>
      <c r="B7" s="5" t="s">
        <v>456</v>
      </c>
    </row>
    <row r="8" ht="22" customHeight="1" spans="1:10">
      <c r="A8" s="5" t="s">
        <v>457</v>
      </c>
      <c r="B8" s="5" t="s">
        <v>458</v>
      </c>
    </row>
    <row r="9" ht="22" customHeight="1" spans="1:10">
      <c r="A9" s="5" t="s">
        <v>459</v>
      </c>
      <c r="B9" s="5" t="s">
        <v>460</v>
      </c>
    </row>
    <row r="10" ht="22" customHeight="1" spans="1:10">
      <c r="A10" s="5" t="s">
        <v>461</v>
      </c>
      <c r="B10" s="5" t="s">
        <v>462</v>
      </c>
    </row>
    <row r="11" ht="22" customHeight="1" spans="1:10">
      <c r="A11" s="5" t="s">
        <v>463</v>
      </c>
      <c r="B11" s="5" t="s">
        <v>464</v>
      </c>
    </row>
    <row r="12" ht="22" customHeight="1" spans="1:10">
      <c r="A12" s="5" t="s">
        <v>465</v>
      </c>
      <c r="B12" s="5" t="s">
        <v>466</v>
      </c>
    </row>
    <row r="13" ht="22" customHeight="1" spans="1:10">
      <c r="A13" s="5" t="s">
        <v>467</v>
      </c>
      <c r="B13" s="5" t="s">
        <v>468</v>
      </c>
    </row>
    <row r="14" ht="22" customHeight="1" spans="1:10">
      <c r="A14" s="5" t="s">
        <v>469</v>
      </c>
      <c r="B14" s="5" t="s">
        <v>470</v>
      </c>
    </row>
    <row r="15" ht="22" customHeight="1" spans="1:10">
      <c r="A15" s="5" t="s">
        <v>471</v>
      </c>
      <c r="B15" s="5" t="s">
        <v>472</v>
      </c>
    </row>
    <row r="16" ht="22" customHeight="1"/>
    <row r="17" ht="22" customHeight="1" spans="1:10">
      <c r="A17" s="6" t="s">
        <v>473</v>
      </c>
      <c r="B17" s="2"/>
      <c r="C17" s="2"/>
      <c r="D17" s="2"/>
      <c r="E17" s="2"/>
      <c r="F17" s="2"/>
      <c r="G17" s="2"/>
      <c r="H17" s="2"/>
      <c r="I17" s="2"/>
      <c r="J17" s="3"/>
    </row>
    <row r="18" ht="22" customHeight="1" spans="1:10">
      <c r="A18" s="4" t="s">
        <v>1</v>
      </c>
      <c r="B18" s="4" t="s">
        <v>474</v>
      </c>
    </row>
    <row r="19" ht="22" customHeight="1" spans="1:10">
      <c r="A19" s="5" t="s">
        <v>475</v>
      </c>
      <c r="B19" s="5" t="s">
        <v>476</v>
      </c>
    </row>
    <row r="20" ht="22" customHeight="1" spans="1:10">
      <c r="A20" s="5" t="s">
        <v>477</v>
      </c>
      <c r="B20" s="5" t="s">
        <v>478</v>
      </c>
    </row>
    <row r="21" ht="22" customHeight="1" spans="1:10">
      <c r="A21" s="5" t="s">
        <v>479</v>
      </c>
      <c r="B21" s="5" t="s">
        <v>480</v>
      </c>
    </row>
    <row r="22" ht="22" customHeight="1" spans="1:10">
      <c r="A22" s="5" t="s">
        <v>481</v>
      </c>
      <c r="B22" s="5" t="s">
        <v>482</v>
      </c>
    </row>
    <row r="23" ht="22" customHeight="1" spans="1:10">
      <c r="A23" s="5" t="s">
        <v>483</v>
      </c>
      <c r="B23" s="5" t="s">
        <v>484</v>
      </c>
    </row>
    <row r="24" ht="22" customHeight="1" spans="1:10">
      <c r="A24" s="5" t="s">
        <v>485</v>
      </c>
      <c r="B24" s="5" t="s">
        <v>486</v>
      </c>
    </row>
    <row r="25" ht="22" customHeight="1" spans="1:10">
      <c r="A25" s="5" t="s">
        <v>487</v>
      </c>
      <c r="B25" s="5" t="s">
        <v>488</v>
      </c>
    </row>
    <row r="27" ht="16.5" customHeight="1" spans="1:10">
      <c r="A27" s="7" t="s">
        <v>489</v>
      </c>
      <c r="B27" s="7"/>
      <c r="C27" s="7"/>
      <c r="D27" s="7"/>
      <c r="E27" s="7"/>
      <c r="F27" s="7"/>
      <c r="G27" s="7"/>
      <c r="H27" s="7"/>
      <c r="I27" s="7"/>
      <c r="J27" s="7"/>
    </row>
    <row r="28" ht="16.5" customHeight="1" spans="1:10">
      <c r="A28" s="8" t="s">
        <v>1</v>
      </c>
      <c r="B28" s="8" t="s">
        <v>2</v>
      </c>
      <c r="C28" s="8"/>
      <c r="D28" s="8"/>
      <c r="E28" s="8"/>
      <c r="F28" s="8"/>
      <c r="G28" s="8"/>
      <c r="H28" s="8"/>
      <c r="I28" s="8"/>
      <c r="J28" s="8"/>
    </row>
    <row r="29" ht="16.5" customHeight="1" spans="1:10">
      <c r="A29" s="9" t="s">
        <v>490</v>
      </c>
      <c r="B29" s="9" t="s">
        <v>491</v>
      </c>
      <c r="C29" s="9"/>
      <c r="D29" s="9"/>
      <c r="E29" s="9"/>
      <c r="F29" s="9"/>
      <c r="G29" s="9"/>
      <c r="H29" s="9"/>
      <c r="I29" s="9"/>
      <c r="J29" s="9"/>
    </row>
    <row r="30" ht="16.5" customHeight="1" spans="1:10">
      <c r="A30" s="9" t="s">
        <v>492</v>
      </c>
      <c r="B30" s="9" t="s">
        <v>493</v>
      </c>
      <c r="C30" s="9"/>
      <c r="D30" s="9"/>
      <c r="E30" s="9"/>
      <c r="F30" s="9"/>
      <c r="G30" s="9"/>
      <c r="H30" s="9"/>
      <c r="I30" s="9"/>
      <c r="J30" s="9"/>
    </row>
    <row r="31" ht="16.5" customHeight="1" spans="1:10">
      <c r="A31" s="9" t="s">
        <v>494</v>
      </c>
      <c r="B31" s="9" t="s">
        <v>495</v>
      </c>
      <c r="C31" s="9"/>
      <c r="D31" s="9"/>
      <c r="E31" s="9"/>
      <c r="F31" s="9"/>
      <c r="G31" s="9"/>
      <c r="H31" s="9"/>
      <c r="I31" s="9"/>
      <c r="J31" s="9"/>
    </row>
  </sheetData>
  <mergeCells count="2">
    <mergeCell ref="A1:J1"/>
    <mergeCell ref="A17:J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00_阅读说明</vt:lpstr>
      <vt:lpstr>01_系统总览</vt:lpstr>
      <vt:lpstr>02_主属性</vt:lpstr>
      <vt:lpstr>03_副属性</vt:lpstr>
      <vt:lpstr>04_宝箱规则</vt:lpstr>
      <vt:lpstr>05_副本掉落</vt:lpstr>
      <vt:lpstr>06_等级池</vt:lpstr>
      <vt:lpstr>07_首通奖励</vt:lpstr>
      <vt:lpstr>08_合成</vt:lpstr>
      <vt:lpstr>09_分解</vt:lpstr>
      <vt:lpstr>10_洗练</vt:lpstr>
      <vt:lpstr>11_制作</vt:lpstr>
      <vt:lpstr>12_产出验算</vt:lpstr>
      <vt:lpstr>13_配置影响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2026-07-03T03:18:00Z</dcterms:created>
  <dcterms:modified xsi:type="dcterms:W3CDTF">2026-07-06T06:33:23Z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A5E76AD9681C493B94AC487B78E5568D_12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